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Weights" sheetId="2" state="visible" r:id="rId2"/>
    <sheet xmlns:r="http://schemas.openxmlformats.org/officeDocument/2006/relationships" name="Indicators" sheetId="3" state="visible" r:id="rId3"/>
    <sheet xmlns:r="http://schemas.openxmlformats.org/officeDocument/2006/relationships" name="Data" sheetId="4" state="visible" r:id="rId4"/>
    <sheet xmlns:r="http://schemas.openxmlformats.org/officeDocument/2006/relationships" name="Normalised" sheetId="5" state="visible" r:id="rId5"/>
    <sheet xmlns:r="http://schemas.openxmlformats.org/officeDocument/2006/relationships" name="T-scores" sheetId="6" state="visible" r:id="rId6"/>
    <sheet xmlns:r="http://schemas.openxmlformats.org/officeDocument/2006/relationships" name="Scores" sheetId="7" state="visible" r:id="rId7"/>
    <sheet xmlns:r="http://schemas.openxmlformats.org/officeDocument/2006/relationships" name="Rubrics"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Verdana"/>
      <b val="1"/>
      <color rgb="00002060"/>
      <sz val="14"/>
    </font>
    <font>
      <name val="Verdana"/>
      <color rgb="00595959"/>
      <sz val="9"/>
    </font>
    <font>
      <name val="Verdana"/>
      <b val="1"/>
      <sz val="9"/>
    </font>
    <font>
      <name val="Verdana"/>
      <sz val="9"/>
    </font>
    <font>
      <name val="Verdana"/>
      <b val="1"/>
      <color rgb="00FFFFFF"/>
      <sz val="9"/>
    </font>
    <font>
      <name val="Verdana"/>
      <b val="1"/>
      <color rgb="00002060"/>
      <sz val="10"/>
    </font>
    <font>
      <name val="Verdana"/>
      <color rgb="000000FF"/>
      <sz val="9"/>
    </font>
  </fonts>
  <fills count="6">
    <fill>
      <patternFill/>
    </fill>
    <fill>
      <patternFill patternType="gray125"/>
    </fill>
    <fill>
      <patternFill patternType="solid">
        <fgColor rgb="00F2F2F2"/>
      </patternFill>
    </fill>
    <fill>
      <patternFill patternType="solid">
        <fgColor rgb="00002060"/>
      </patternFill>
    </fill>
    <fill>
      <patternFill patternType="solid">
        <fgColor rgb="00D9D9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horizontal="center" vertical="top" wrapText="1"/>
    </xf>
    <xf numFmtId="0" fontId="3" fillId="0" borderId="1" applyAlignment="1" pivotButton="0" quotePrefix="0" xfId="0">
      <alignment vertical="top" wrapText="1"/>
    </xf>
    <xf numFmtId="0" fontId="4" fillId="4" borderId="1" applyAlignment="1" pivotButton="0" quotePrefix="0" xfId="0">
      <alignment horizontal="center" vertical="top" wrapText="1"/>
    </xf>
    <xf numFmtId="0" fontId="4" fillId="2" borderId="1" applyAlignment="1" pivotButton="0" quotePrefix="0" xfId="0">
      <alignment horizontal="center" vertical="top" wrapText="1"/>
    </xf>
    <xf numFmtId="0" fontId="3" fillId="2" borderId="1" applyAlignment="1" pivotButton="0" quotePrefix="0" xfId="0">
      <alignment horizontal="center" vertical="top" wrapText="1"/>
    </xf>
    <xf numFmtId="0" fontId="2" fillId="0" borderId="0" applyAlignment="1" pivotButton="0" quotePrefix="0" xfId="0">
      <alignment vertical="top" wrapText="1"/>
    </xf>
    <xf numFmtId="0" fontId="6" fillId="0" borderId="0" pivotButton="0" quotePrefix="0" xfId="0"/>
    <xf numFmtId="0" fontId="4" fillId="2" borderId="1" applyAlignment="1" pivotButton="0" quotePrefix="0" xfId="0">
      <alignment vertical="top" wrapText="1"/>
    </xf>
    <xf numFmtId="164" fontId="4" fillId="2" borderId="1" applyAlignment="1" pivotButton="0" quotePrefix="0" xfId="0">
      <alignment horizontal="center" vertical="top" wrapText="1"/>
    </xf>
    <xf numFmtId="164" fontId="3" fillId="2" borderId="1" applyAlignment="1" pivotButton="0" quotePrefix="0" xfId="0">
      <alignment horizontal="center" vertical="top" wrapText="1"/>
    </xf>
    <xf numFmtId="0" fontId="4" fillId="4" borderId="1" applyAlignment="1" pivotButton="0" quotePrefix="0" xfId="0">
      <alignment vertical="top" wrapText="1"/>
    </xf>
    <xf numFmtId="0" fontId="0" fillId="3" borderId="0" pivotButton="0" quotePrefix="0" xfId="0"/>
    <xf numFmtId="0" fontId="7" fillId="5" borderId="1" applyAlignment="1" pivotButton="0" quotePrefix="0" xfId="0">
      <alignment horizontal="center" vertical="top" wrapText="1"/>
    </xf>
    <xf numFmtId="0" fontId="7" fillId="5"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1">
    <dxf>
      <fill>
        <patternFill patternType="solid">
          <b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6" customWidth="1" min="1" max="1"/>
    <col width="110" customWidth="1" min="2" max="2"/>
  </cols>
  <sheetData>
    <row r="1">
      <c r="A1" s="1" t="inlineStr">
        <is>
          <t>Country scoring model: Julius Meinl, Latin America</t>
        </is>
      </c>
    </row>
    <row r="2">
      <c r="A2" s="2" t="inlineStr">
        <is>
          <t>Business Projects WT 2026/27, Midterm Part A. One workbook for all six groups.</t>
        </is>
      </c>
    </row>
    <row r="4" ht="40" customHeight="1">
      <c r="A4" s="3" t="inlineStr">
        <is>
          <t>Purpose</t>
        </is>
      </c>
      <c r="B4" s="4" t="inlineStr">
        <is>
          <t>All groups score the same six countries with the same criteria and the same weights. Each group collects the data of its allocated country. The workbook turns the data into scores and ranks.</t>
        </is>
      </c>
    </row>
    <row r="5" ht="40" customHeight="1">
      <c r="A5" s="3" t="inlineStr">
        <is>
          <t>Your country</t>
        </is>
      </c>
      <c r="B5" s="4" t="inlineStr">
        <is>
          <t>Group 1: Argentina. Group 2: Chile. Group 3: Mexico. Group 4: Colombia. Group 5: Uruguay. Group 6: Brazil.</t>
        </is>
      </c>
    </row>
    <row r="6" ht="40" customHeight="1">
      <c r="A6" s="3" t="inlineStr">
        <is>
          <t>What you enter</t>
        </is>
      </c>
      <c r="B6" s="4" t="inlineStr">
        <is>
          <t>Only on the Data sheet, only in the yellow cells of your own country: value, year and source (name and link). Do not type in other groups' columns. Never type over a grey or white cell: they contain formulas.</t>
        </is>
      </c>
    </row>
    <row r="7" ht="40" customHeight="1">
      <c r="A7" s="3" t="inlineStr">
        <is>
          <t>How the criteria are built</t>
        </is>
      </c>
      <c r="B7" s="4" t="inlineStr">
        <is>
          <t>The 14 indicators are grouped by the six PESTEL dimensions (Political, Economic, Social, Technological, Environmental, Legal). Julius Meinl's six dimensions are shown as a second label.</t>
        </is>
      </c>
    </row>
    <row r="8" ht="40" customHeight="1">
      <c r="A8" s="3" t="inlineStr">
        <is>
          <t>How the weights work</t>
        </is>
      </c>
      <c r="B8" s="4" t="inlineStr">
        <is>
          <t>The instructor has fixed the weight of each PESTEL dimension upfront (sheet Weights). The weight of a dimension is split equally among its indicators. Groups cannot change the weights.</t>
        </is>
      </c>
    </row>
    <row r="9" ht="40" customHeight="1">
      <c r="A9" s="3" t="inlineStr">
        <is>
          <t>How scores are calculated</t>
        </is>
      </c>
      <c r="B9" s="4" t="inlineStr">
        <is>
          <t>Each indicator is rescaled to 0 to 100 across the six countries (min-max, direction respected). The score of a country is the weighted sum of its indicator scores. The T-scores sheet shows a second normalisation (50 + 10 x z-score; 50 = average of the six countries).</t>
        </is>
      </c>
    </row>
    <row r="10" ht="40" customHeight="1">
      <c r="A10" s="3" t="inlineStr">
        <is>
          <t>Robustness</t>
        </is>
      </c>
      <c r="B10" s="4" t="inlineStr">
        <is>
          <t>The Scores sheet recalculates the ranking with four alternative weight sets. Use it for Step 7 of the student brief.</t>
        </is>
      </c>
    </row>
    <row r="11" ht="40" customHeight="1">
      <c r="A11" s="3" t="inlineStr">
        <is>
          <t>Colour code</t>
        </is>
      </c>
      <c r="B11" s="4" t="inlineStr">
        <is>
          <t>Yellow with blue text: input. Grey: fixed by the instructor. White or light grey with black text: formula.</t>
        </is>
      </c>
    </row>
    <row r="12" ht="40" customHeight="1">
      <c r="A12" s="3" t="inlineStr">
        <is>
          <t>Quality rules</t>
        </is>
      </c>
      <c r="B12" s="4" t="inlineStr">
        <is>
          <t>Use the latest year available. Use the unit given. Record the year and a source link for every value. Qualitative scores use the rubrics on the Rubrics sheet; write the reason in the source cell. A country with a missing value shows "incomplete" instead of a score.</t>
        </is>
      </c>
    </row>
    <row r="13" ht="40" customHeight="1">
      <c r="A13" s="3" t="inlineStr">
        <is>
          <t>Questions</t>
        </is>
      </c>
      <c r="B13" s="4" t="inlineStr">
        <is>
          <t>arne.floh@wu.ac.at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6" customWidth="1" min="1" max="1"/>
    <col width="48" customWidth="1" min="2" max="2"/>
    <col width="14" customWidth="1" min="3" max="3"/>
    <col width="14" customWidth="1" min="4" max="4"/>
    <col width="14" customWidth="1" min="5" max="5"/>
    <col width="14" customWidth="1" min="6" max="6"/>
    <col width="14" customWidth="1" min="7" max="7"/>
  </cols>
  <sheetData>
    <row r="1">
      <c r="A1" s="1" t="inlineStr">
        <is>
          <t>Weights (set by the instructor, do not change)</t>
        </is>
      </c>
    </row>
    <row r="3">
      <c r="A3" s="5" t="inlineStr">
        <is>
          <t>PESTEL dimension</t>
        </is>
      </c>
      <c r="B3" s="5" t="inlineStr">
        <is>
          <t>Baseline</t>
        </is>
      </c>
      <c r="C3" s="5" t="inlineStr">
        <is>
          <t>Equal</t>
        </is>
      </c>
      <c r="D3" s="5" t="inlineStr">
        <is>
          <t>Economy-led</t>
        </is>
      </c>
      <c r="E3" s="5" t="inlineStr">
        <is>
          <t>Access-led</t>
        </is>
      </c>
      <c r="F3" s="5" t="inlineStr">
        <is>
          <t>Society-led</t>
        </is>
      </c>
      <c r="G3" s="5" t="inlineStr">
        <is>
          <t>Indicators in dimension</t>
        </is>
      </c>
    </row>
    <row r="4">
      <c r="A4" s="6" t="inlineStr">
        <is>
          <t>Political</t>
        </is>
      </c>
      <c r="B4" s="7" t="n">
        <v>15</v>
      </c>
      <c r="C4" s="7" t="n">
        <v>17</v>
      </c>
      <c r="D4" s="7" t="n">
        <v>10</v>
      </c>
      <c r="E4" s="7" t="n">
        <v>20</v>
      </c>
      <c r="F4" s="7" t="n">
        <v>10</v>
      </c>
      <c r="G4" s="8">
        <f>COUNTIF(Indicators!$B$4:$B$17,A4)</f>
        <v/>
      </c>
    </row>
    <row r="5">
      <c r="A5" s="6" t="inlineStr">
        <is>
          <t>Economic</t>
        </is>
      </c>
      <c r="B5" s="7" t="n">
        <v>25</v>
      </c>
      <c r="C5" s="7" t="n">
        <v>17</v>
      </c>
      <c r="D5" s="7" t="n">
        <v>40</v>
      </c>
      <c r="E5" s="7" t="n">
        <v>15</v>
      </c>
      <c r="F5" s="7" t="n">
        <v>20</v>
      </c>
      <c r="G5" s="8">
        <f>COUNTIF(Indicators!$B$4:$B$17,A5)</f>
        <v/>
      </c>
    </row>
    <row r="6">
      <c r="A6" s="6" t="inlineStr">
        <is>
          <t>Social</t>
        </is>
      </c>
      <c r="B6" s="7" t="n">
        <v>25</v>
      </c>
      <c r="C6" s="7" t="n">
        <v>17</v>
      </c>
      <c r="D6" s="7" t="n">
        <v>20</v>
      </c>
      <c r="E6" s="7" t="n">
        <v>15</v>
      </c>
      <c r="F6" s="7" t="n">
        <v>40</v>
      </c>
      <c r="G6" s="8">
        <f>COUNTIF(Indicators!$B$4:$B$17,A6)</f>
        <v/>
      </c>
    </row>
    <row r="7">
      <c r="A7" s="6" t="inlineStr">
        <is>
          <t>Technological</t>
        </is>
      </c>
      <c r="B7" s="7" t="n">
        <v>10</v>
      </c>
      <c r="C7" s="7" t="n">
        <v>17</v>
      </c>
      <c r="D7" s="7" t="n">
        <v>10</v>
      </c>
      <c r="E7" s="7" t="n">
        <v>5</v>
      </c>
      <c r="F7" s="7" t="n">
        <v>10</v>
      </c>
      <c r="G7" s="8">
        <f>COUNTIF(Indicators!$B$4:$B$17,A7)</f>
        <v/>
      </c>
    </row>
    <row r="8">
      <c r="A8" s="6" t="inlineStr">
        <is>
          <t>Environmental</t>
        </is>
      </c>
      <c r="B8" s="7" t="n">
        <v>5</v>
      </c>
      <c r="C8" s="7" t="n">
        <v>16</v>
      </c>
      <c r="D8" s="7" t="n">
        <v>5</v>
      </c>
      <c r="E8" s="7" t="n">
        <v>5</v>
      </c>
      <c r="F8" s="7" t="n">
        <v>5</v>
      </c>
      <c r="G8" s="8">
        <f>COUNTIF(Indicators!$B$4:$B$17,A8)</f>
        <v/>
      </c>
    </row>
    <row r="9">
      <c r="A9" s="6" t="inlineStr">
        <is>
          <t>Legal</t>
        </is>
      </c>
      <c r="B9" s="7" t="n">
        <v>20</v>
      </c>
      <c r="C9" s="7" t="n">
        <v>16</v>
      </c>
      <c r="D9" s="7" t="n">
        <v>15</v>
      </c>
      <c r="E9" s="7" t="n">
        <v>40</v>
      </c>
      <c r="F9" s="7" t="n">
        <v>15</v>
      </c>
      <c r="G9" s="8">
        <f>COUNTIF(Indicators!$B$4:$B$17,A9)</f>
        <v/>
      </c>
    </row>
    <row r="10">
      <c r="A10" s="6" t="inlineStr">
        <is>
          <t>Sum (must be 100)</t>
        </is>
      </c>
      <c r="B10" s="9">
        <f>SUM(B4:B9)</f>
        <v/>
      </c>
      <c r="C10" s="9">
        <f>SUM(C4:C9)</f>
        <v/>
      </c>
      <c r="D10" s="9">
        <f>SUM(D4:D9)</f>
        <v/>
      </c>
      <c r="E10" s="9">
        <f>SUM(E4:E9)</f>
        <v/>
      </c>
      <c r="F10" s="9">
        <f>SUM(F4:F9)</f>
        <v/>
      </c>
      <c r="G10" s="9">
        <f>SUM(G4:G9)</f>
        <v/>
      </c>
    </row>
    <row r="12">
      <c r="A12" s="10" t="inlineStr">
        <is>
          <t>Baseline: derived from Julius Meinl's priorities (purchasing power and coffee culture first, import conditions and regulation next). Economy-led, Access-led and Society-led shift the emphasis. Equal is the neutral benchmark.</t>
        </is>
      </c>
    </row>
    <row r="13"/>
    <row r="15">
      <c r="A15" s="11" t="inlineStr">
        <is>
          <t>Weight of each indicator (dimension weight divided by the number of indicators in the dimension)</t>
        </is>
      </c>
    </row>
    <row r="16">
      <c r="A16" s="5" t="inlineStr">
        <is>
          <t>ID</t>
        </is>
      </c>
      <c r="B16" s="5" t="inlineStr">
        <is>
          <t>Indicator (dimension)</t>
        </is>
      </c>
      <c r="C16" s="5" t="inlineStr">
        <is>
          <t>Baseline</t>
        </is>
      </c>
      <c r="D16" s="5" t="inlineStr">
        <is>
          <t>Equal</t>
        </is>
      </c>
      <c r="E16" s="5" t="inlineStr">
        <is>
          <t>Economy-led</t>
        </is>
      </c>
      <c r="F16" s="5" t="inlineStr">
        <is>
          <t>Access-led</t>
        </is>
      </c>
      <c r="G16" s="5" t="inlineStr">
        <is>
          <t>Society-led</t>
        </is>
      </c>
    </row>
    <row r="17">
      <c r="A17" s="8">
        <f>Indicators!A4</f>
        <v/>
      </c>
      <c r="B17" s="12">
        <f>Indicators!C4&amp;" ("&amp;Indicators!B4&amp;")"</f>
        <v/>
      </c>
      <c r="C17" s="13">
        <f>INDEX($B$4:$B$9,MATCH(Indicators!$B4,$A$4:$A$9,0))/INDEX($G$4:$G$9,MATCH(Indicators!$B4,$A$4:$A$9,0))</f>
        <v/>
      </c>
      <c r="D17" s="13">
        <f>INDEX($C$4:$C$9,MATCH(Indicators!$B4,$A$4:$A$9,0))/INDEX($G$4:$G$9,MATCH(Indicators!$B4,$A$4:$A$9,0))</f>
        <v/>
      </c>
      <c r="E17" s="13">
        <f>INDEX($D$4:$D$9,MATCH(Indicators!$B4,$A$4:$A$9,0))/INDEX($G$4:$G$9,MATCH(Indicators!$B4,$A$4:$A$9,0))</f>
        <v/>
      </c>
      <c r="F17" s="13">
        <f>INDEX($E$4:$E$9,MATCH(Indicators!$B4,$A$4:$A$9,0))/INDEX($G$4:$G$9,MATCH(Indicators!$B4,$A$4:$A$9,0))</f>
        <v/>
      </c>
      <c r="G17" s="13">
        <f>INDEX($F$4:$F$9,MATCH(Indicators!$B4,$A$4:$A$9,0))/INDEX($G$4:$G$9,MATCH(Indicators!$B4,$A$4:$A$9,0))</f>
        <v/>
      </c>
    </row>
    <row r="18">
      <c r="A18" s="8">
        <f>Indicators!A5</f>
        <v/>
      </c>
      <c r="B18" s="12">
        <f>Indicators!C5&amp;" ("&amp;Indicators!B5&amp;")"</f>
        <v/>
      </c>
      <c r="C18" s="13">
        <f>INDEX($B$4:$B$9,MATCH(Indicators!$B5,$A$4:$A$9,0))/INDEX($G$4:$G$9,MATCH(Indicators!$B5,$A$4:$A$9,0))</f>
        <v/>
      </c>
      <c r="D18" s="13">
        <f>INDEX($C$4:$C$9,MATCH(Indicators!$B5,$A$4:$A$9,0))/INDEX($G$4:$G$9,MATCH(Indicators!$B5,$A$4:$A$9,0))</f>
        <v/>
      </c>
      <c r="E18" s="13">
        <f>INDEX($D$4:$D$9,MATCH(Indicators!$B5,$A$4:$A$9,0))/INDEX($G$4:$G$9,MATCH(Indicators!$B5,$A$4:$A$9,0))</f>
        <v/>
      </c>
      <c r="F18" s="13">
        <f>INDEX($E$4:$E$9,MATCH(Indicators!$B5,$A$4:$A$9,0))/INDEX($G$4:$G$9,MATCH(Indicators!$B5,$A$4:$A$9,0))</f>
        <v/>
      </c>
      <c r="G18" s="13">
        <f>INDEX($F$4:$F$9,MATCH(Indicators!$B5,$A$4:$A$9,0))/INDEX($G$4:$G$9,MATCH(Indicators!$B5,$A$4:$A$9,0))</f>
        <v/>
      </c>
    </row>
    <row r="19">
      <c r="A19" s="8">
        <f>Indicators!A6</f>
        <v/>
      </c>
      <c r="B19" s="12">
        <f>Indicators!C6&amp;" ("&amp;Indicators!B6&amp;")"</f>
        <v/>
      </c>
      <c r="C19" s="13">
        <f>INDEX($B$4:$B$9,MATCH(Indicators!$B6,$A$4:$A$9,0))/INDEX($G$4:$G$9,MATCH(Indicators!$B6,$A$4:$A$9,0))</f>
        <v/>
      </c>
      <c r="D19" s="13">
        <f>INDEX($C$4:$C$9,MATCH(Indicators!$B6,$A$4:$A$9,0))/INDEX($G$4:$G$9,MATCH(Indicators!$B6,$A$4:$A$9,0))</f>
        <v/>
      </c>
      <c r="E19" s="13">
        <f>INDEX($D$4:$D$9,MATCH(Indicators!$B6,$A$4:$A$9,0))/INDEX($G$4:$G$9,MATCH(Indicators!$B6,$A$4:$A$9,0))</f>
        <v/>
      </c>
      <c r="F19" s="13">
        <f>INDEX($E$4:$E$9,MATCH(Indicators!$B6,$A$4:$A$9,0))/INDEX($G$4:$G$9,MATCH(Indicators!$B6,$A$4:$A$9,0))</f>
        <v/>
      </c>
      <c r="G19" s="13">
        <f>INDEX($F$4:$F$9,MATCH(Indicators!$B6,$A$4:$A$9,0))/INDEX($G$4:$G$9,MATCH(Indicators!$B6,$A$4:$A$9,0))</f>
        <v/>
      </c>
    </row>
    <row r="20">
      <c r="A20" s="8">
        <f>Indicators!A7</f>
        <v/>
      </c>
      <c r="B20" s="12">
        <f>Indicators!C7&amp;" ("&amp;Indicators!B7&amp;")"</f>
        <v/>
      </c>
      <c r="C20" s="13">
        <f>INDEX($B$4:$B$9,MATCH(Indicators!$B7,$A$4:$A$9,0))/INDEX($G$4:$G$9,MATCH(Indicators!$B7,$A$4:$A$9,0))</f>
        <v/>
      </c>
      <c r="D20" s="13">
        <f>INDEX($C$4:$C$9,MATCH(Indicators!$B7,$A$4:$A$9,0))/INDEX($G$4:$G$9,MATCH(Indicators!$B7,$A$4:$A$9,0))</f>
        <v/>
      </c>
      <c r="E20" s="13">
        <f>INDEX($D$4:$D$9,MATCH(Indicators!$B7,$A$4:$A$9,0))/INDEX($G$4:$G$9,MATCH(Indicators!$B7,$A$4:$A$9,0))</f>
        <v/>
      </c>
      <c r="F20" s="13">
        <f>INDEX($E$4:$E$9,MATCH(Indicators!$B7,$A$4:$A$9,0))/INDEX($G$4:$G$9,MATCH(Indicators!$B7,$A$4:$A$9,0))</f>
        <v/>
      </c>
      <c r="G20" s="13">
        <f>INDEX($F$4:$F$9,MATCH(Indicators!$B7,$A$4:$A$9,0))/INDEX($G$4:$G$9,MATCH(Indicators!$B7,$A$4:$A$9,0))</f>
        <v/>
      </c>
    </row>
    <row r="21">
      <c r="A21" s="8">
        <f>Indicators!A8</f>
        <v/>
      </c>
      <c r="B21" s="12">
        <f>Indicators!C8&amp;" ("&amp;Indicators!B8&amp;")"</f>
        <v/>
      </c>
      <c r="C21" s="13">
        <f>INDEX($B$4:$B$9,MATCH(Indicators!$B8,$A$4:$A$9,0))/INDEX($G$4:$G$9,MATCH(Indicators!$B8,$A$4:$A$9,0))</f>
        <v/>
      </c>
      <c r="D21" s="13">
        <f>INDEX($C$4:$C$9,MATCH(Indicators!$B8,$A$4:$A$9,0))/INDEX($G$4:$G$9,MATCH(Indicators!$B8,$A$4:$A$9,0))</f>
        <v/>
      </c>
      <c r="E21" s="13">
        <f>INDEX($D$4:$D$9,MATCH(Indicators!$B8,$A$4:$A$9,0))/INDEX($G$4:$G$9,MATCH(Indicators!$B8,$A$4:$A$9,0))</f>
        <v/>
      </c>
      <c r="F21" s="13">
        <f>INDEX($E$4:$E$9,MATCH(Indicators!$B8,$A$4:$A$9,0))/INDEX($G$4:$G$9,MATCH(Indicators!$B8,$A$4:$A$9,0))</f>
        <v/>
      </c>
      <c r="G21" s="13">
        <f>INDEX($F$4:$F$9,MATCH(Indicators!$B8,$A$4:$A$9,0))/INDEX($G$4:$G$9,MATCH(Indicators!$B8,$A$4:$A$9,0))</f>
        <v/>
      </c>
    </row>
    <row r="22">
      <c r="A22" s="8">
        <f>Indicators!A9</f>
        <v/>
      </c>
      <c r="B22" s="12">
        <f>Indicators!C9&amp;" ("&amp;Indicators!B9&amp;")"</f>
        <v/>
      </c>
      <c r="C22" s="13">
        <f>INDEX($B$4:$B$9,MATCH(Indicators!$B9,$A$4:$A$9,0))/INDEX($G$4:$G$9,MATCH(Indicators!$B9,$A$4:$A$9,0))</f>
        <v/>
      </c>
      <c r="D22" s="13">
        <f>INDEX($C$4:$C$9,MATCH(Indicators!$B9,$A$4:$A$9,0))/INDEX($G$4:$G$9,MATCH(Indicators!$B9,$A$4:$A$9,0))</f>
        <v/>
      </c>
      <c r="E22" s="13">
        <f>INDEX($D$4:$D$9,MATCH(Indicators!$B9,$A$4:$A$9,0))/INDEX($G$4:$G$9,MATCH(Indicators!$B9,$A$4:$A$9,0))</f>
        <v/>
      </c>
      <c r="F22" s="13">
        <f>INDEX($E$4:$E$9,MATCH(Indicators!$B9,$A$4:$A$9,0))/INDEX($G$4:$G$9,MATCH(Indicators!$B9,$A$4:$A$9,0))</f>
        <v/>
      </c>
      <c r="G22" s="13">
        <f>INDEX($F$4:$F$9,MATCH(Indicators!$B9,$A$4:$A$9,0))/INDEX($G$4:$G$9,MATCH(Indicators!$B9,$A$4:$A$9,0))</f>
        <v/>
      </c>
    </row>
    <row r="23">
      <c r="A23" s="8">
        <f>Indicators!A10</f>
        <v/>
      </c>
      <c r="B23" s="12">
        <f>Indicators!C10&amp;" ("&amp;Indicators!B10&amp;")"</f>
        <v/>
      </c>
      <c r="C23" s="13">
        <f>INDEX($B$4:$B$9,MATCH(Indicators!$B10,$A$4:$A$9,0))/INDEX($G$4:$G$9,MATCH(Indicators!$B10,$A$4:$A$9,0))</f>
        <v/>
      </c>
      <c r="D23" s="13">
        <f>INDEX($C$4:$C$9,MATCH(Indicators!$B10,$A$4:$A$9,0))/INDEX($G$4:$G$9,MATCH(Indicators!$B10,$A$4:$A$9,0))</f>
        <v/>
      </c>
      <c r="E23" s="13">
        <f>INDEX($D$4:$D$9,MATCH(Indicators!$B10,$A$4:$A$9,0))/INDEX($G$4:$G$9,MATCH(Indicators!$B10,$A$4:$A$9,0))</f>
        <v/>
      </c>
      <c r="F23" s="13">
        <f>INDEX($E$4:$E$9,MATCH(Indicators!$B10,$A$4:$A$9,0))/INDEX($G$4:$G$9,MATCH(Indicators!$B10,$A$4:$A$9,0))</f>
        <v/>
      </c>
      <c r="G23" s="13">
        <f>INDEX($F$4:$F$9,MATCH(Indicators!$B10,$A$4:$A$9,0))/INDEX($G$4:$G$9,MATCH(Indicators!$B10,$A$4:$A$9,0))</f>
        <v/>
      </c>
    </row>
    <row r="24">
      <c r="A24" s="8">
        <f>Indicators!A11</f>
        <v/>
      </c>
      <c r="B24" s="12">
        <f>Indicators!C11&amp;" ("&amp;Indicators!B11&amp;")"</f>
        <v/>
      </c>
      <c r="C24" s="13">
        <f>INDEX($B$4:$B$9,MATCH(Indicators!$B11,$A$4:$A$9,0))/INDEX($G$4:$G$9,MATCH(Indicators!$B11,$A$4:$A$9,0))</f>
        <v/>
      </c>
      <c r="D24" s="13">
        <f>INDEX($C$4:$C$9,MATCH(Indicators!$B11,$A$4:$A$9,0))/INDEX($G$4:$G$9,MATCH(Indicators!$B11,$A$4:$A$9,0))</f>
        <v/>
      </c>
      <c r="E24" s="13">
        <f>INDEX($D$4:$D$9,MATCH(Indicators!$B11,$A$4:$A$9,0))/INDEX($G$4:$G$9,MATCH(Indicators!$B11,$A$4:$A$9,0))</f>
        <v/>
      </c>
      <c r="F24" s="13">
        <f>INDEX($E$4:$E$9,MATCH(Indicators!$B11,$A$4:$A$9,0))/INDEX($G$4:$G$9,MATCH(Indicators!$B11,$A$4:$A$9,0))</f>
        <v/>
      </c>
      <c r="G24" s="13">
        <f>INDEX($F$4:$F$9,MATCH(Indicators!$B11,$A$4:$A$9,0))/INDEX($G$4:$G$9,MATCH(Indicators!$B11,$A$4:$A$9,0))</f>
        <v/>
      </c>
    </row>
    <row r="25">
      <c r="A25" s="8">
        <f>Indicators!A12</f>
        <v/>
      </c>
      <c r="B25" s="12">
        <f>Indicators!C12&amp;" ("&amp;Indicators!B12&amp;")"</f>
        <v/>
      </c>
      <c r="C25" s="13">
        <f>INDEX($B$4:$B$9,MATCH(Indicators!$B12,$A$4:$A$9,0))/INDEX($G$4:$G$9,MATCH(Indicators!$B12,$A$4:$A$9,0))</f>
        <v/>
      </c>
      <c r="D25" s="13">
        <f>INDEX($C$4:$C$9,MATCH(Indicators!$B12,$A$4:$A$9,0))/INDEX($G$4:$G$9,MATCH(Indicators!$B12,$A$4:$A$9,0))</f>
        <v/>
      </c>
      <c r="E25" s="13">
        <f>INDEX($D$4:$D$9,MATCH(Indicators!$B12,$A$4:$A$9,0))/INDEX($G$4:$G$9,MATCH(Indicators!$B12,$A$4:$A$9,0))</f>
        <v/>
      </c>
      <c r="F25" s="13">
        <f>INDEX($E$4:$E$9,MATCH(Indicators!$B12,$A$4:$A$9,0))/INDEX($G$4:$G$9,MATCH(Indicators!$B12,$A$4:$A$9,0))</f>
        <v/>
      </c>
      <c r="G25" s="13">
        <f>INDEX($F$4:$F$9,MATCH(Indicators!$B12,$A$4:$A$9,0))/INDEX($G$4:$G$9,MATCH(Indicators!$B12,$A$4:$A$9,0))</f>
        <v/>
      </c>
    </row>
    <row r="26">
      <c r="A26" s="8">
        <f>Indicators!A13</f>
        <v/>
      </c>
      <c r="B26" s="12">
        <f>Indicators!C13&amp;" ("&amp;Indicators!B13&amp;")"</f>
        <v/>
      </c>
      <c r="C26" s="13">
        <f>INDEX($B$4:$B$9,MATCH(Indicators!$B13,$A$4:$A$9,0))/INDEX($G$4:$G$9,MATCH(Indicators!$B13,$A$4:$A$9,0))</f>
        <v/>
      </c>
      <c r="D26" s="13">
        <f>INDEX($C$4:$C$9,MATCH(Indicators!$B13,$A$4:$A$9,0))/INDEX($G$4:$G$9,MATCH(Indicators!$B13,$A$4:$A$9,0))</f>
        <v/>
      </c>
      <c r="E26" s="13">
        <f>INDEX($D$4:$D$9,MATCH(Indicators!$B13,$A$4:$A$9,0))/INDEX($G$4:$G$9,MATCH(Indicators!$B13,$A$4:$A$9,0))</f>
        <v/>
      </c>
      <c r="F26" s="13">
        <f>INDEX($E$4:$E$9,MATCH(Indicators!$B13,$A$4:$A$9,0))/INDEX($G$4:$G$9,MATCH(Indicators!$B13,$A$4:$A$9,0))</f>
        <v/>
      </c>
      <c r="G26" s="13">
        <f>INDEX($F$4:$F$9,MATCH(Indicators!$B13,$A$4:$A$9,0))/INDEX($G$4:$G$9,MATCH(Indicators!$B13,$A$4:$A$9,0))</f>
        <v/>
      </c>
    </row>
    <row r="27">
      <c r="A27" s="8">
        <f>Indicators!A14</f>
        <v/>
      </c>
      <c r="B27" s="12">
        <f>Indicators!C14&amp;" ("&amp;Indicators!B14&amp;")"</f>
        <v/>
      </c>
      <c r="C27" s="13">
        <f>INDEX($B$4:$B$9,MATCH(Indicators!$B14,$A$4:$A$9,0))/INDEX($G$4:$G$9,MATCH(Indicators!$B14,$A$4:$A$9,0))</f>
        <v/>
      </c>
      <c r="D27" s="13">
        <f>INDEX($C$4:$C$9,MATCH(Indicators!$B14,$A$4:$A$9,0))/INDEX($G$4:$G$9,MATCH(Indicators!$B14,$A$4:$A$9,0))</f>
        <v/>
      </c>
      <c r="E27" s="13">
        <f>INDEX($D$4:$D$9,MATCH(Indicators!$B14,$A$4:$A$9,0))/INDEX($G$4:$G$9,MATCH(Indicators!$B14,$A$4:$A$9,0))</f>
        <v/>
      </c>
      <c r="F27" s="13">
        <f>INDEX($E$4:$E$9,MATCH(Indicators!$B14,$A$4:$A$9,0))/INDEX($G$4:$G$9,MATCH(Indicators!$B14,$A$4:$A$9,0))</f>
        <v/>
      </c>
      <c r="G27" s="13">
        <f>INDEX($F$4:$F$9,MATCH(Indicators!$B14,$A$4:$A$9,0))/INDEX($G$4:$G$9,MATCH(Indicators!$B14,$A$4:$A$9,0))</f>
        <v/>
      </c>
    </row>
    <row r="28">
      <c r="A28" s="8">
        <f>Indicators!A15</f>
        <v/>
      </c>
      <c r="B28" s="12">
        <f>Indicators!C15&amp;" ("&amp;Indicators!B15&amp;")"</f>
        <v/>
      </c>
      <c r="C28" s="13">
        <f>INDEX($B$4:$B$9,MATCH(Indicators!$B15,$A$4:$A$9,0))/INDEX($G$4:$G$9,MATCH(Indicators!$B15,$A$4:$A$9,0))</f>
        <v/>
      </c>
      <c r="D28" s="13">
        <f>INDEX($C$4:$C$9,MATCH(Indicators!$B15,$A$4:$A$9,0))/INDEX($G$4:$G$9,MATCH(Indicators!$B15,$A$4:$A$9,0))</f>
        <v/>
      </c>
      <c r="E28" s="13">
        <f>INDEX($D$4:$D$9,MATCH(Indicators!$B15,$A$4:$A$9,0))/INDEX($G$4:$G$9,MATCH(Indicators!$B15,$A$4:$A$9,0))</f>
        <v/>
      </c>
      <c r="F28" s="13">
        <f>INDEX($E$4:$E$9,MATCH(Indicators!$B15,$A$4:$A$9,0))/INDEX($G$4:$G$9,MATCH(Indicators!$B15,$A$4:$A$9,0))</f>
        <v/>
      </c>
      <c r="G28" s="13">
        <f>INDEX($F$4:$F$9,MATCH(Indicators!$B15,$A$4:$A$9,0))/INDEX($G$4:$G$9,MATCH(Indicators!$B15,$A$4:$A$9,0))</f>
        <v/>
      </c>
    </row>
    <row r="29">
      <c r="A29" s="8">
        <f>Indicators!A16</f>
        <v/>
      </c>
      <c r="B29" s="12">
        <f>Indicators!C16&amp;" ("&amp;Indicators!B16&amp;")"</f>
        <v/>
      </c>
      <c r="C29" s="13">
        <f>INDEX($B$4:$B$9,MATCH(Indicators!$B16,$A$4:$A$9,0))/INDEX($G$4:$G$9,MATCH(Indicators!$B16,$A$4:$A$9,0))</f>
        <v/>
      </c>
      <c r="D29" s="13">
        <f>INDEX($C$4:$C$9,MATCH(Indicators!$B16,$A$4:$A$9,0))/INDEX($G$4:$G$9,MATCH(Indicators!$B16,$A$4:$A$9,0))</f>
        <v/>
      </c>
      <c r="E29" s="13">
        <f>INDEX($D$4:$D$9,MATCH(Indicators!$B16,$A$4:$A$9,0))/INDEX($G$4:$G$9,MATCH(Indicators!$B16,$A$4:$A$9,0))</f>
        <v/>
      </c>
      <c r="F29" s="13">
        <f>INDEX($E$4:$E$9,MATCH(Indicators!$B16,$A$4:$A$9,0))/INDEX($G$4:$G$9,MATCH(Indicators!$B16,$A$4:$A$9,0))</f>
        <v/>
      </c>
      <c r="G29" s="13">
        <f>INDEX($F$4:$F$9,MATCH(Indicators!$B16,$A$4:$A$9,0))/INDEX($G$4:$G$9,MATCH(Indicators!$B16,$A$4:$A$9,0))</f>
        <v/>
      </c>
    </row>
    <row r="30">
      <c r="A30" s="8">
        <f>Indicators!A17</f>
        <v/>
      </c>
      <c r="B30" s="12">
        <f>Indicators!C17&amp;" ("&amp;Indicators!B17&amp;")"</f>
        <v/>
      </c>
      <c r="C30" s="13">
        <f>INDEX($B$4:$B$9,MATCH(Indicators!$B17,$A$4:$A$9,0))/INDEX($G$4:$G$9,MATCH(Indicators!$B17,$A$4:$A$9,0))</f>
        <v/>
      </c>
      <c r="D30" s="13">
        <f>INDEX($C$4:$C$9,MATCH(Indicators!$B17,$A$4:$A$9,0))/INDEX($G$4:$G$9,MATCH(Indicators!$B17,$A$4:$A$9,0))</f>
        <v/>
      </c>
      <c r="E30" s="13">
        <f>INDEX($D$4:$D$9,MATCH(Indicators!$B17,$A$4:$A$9,0))/INDEX($G$4:$G$9,MATCH(Indicators!$B17,$A$4:$A$9,0))</f>
        <v/>
      </c>
      <c r="F30" s="13">
        <f>INDEX($E$4:$E$9,MATCH(Indicators!$B17,$A$4:$A$9,0))/INDEX($G$4:$G$9,MATCH(Indicators!$B17,$A$4:$A$9,0))</f>
        <v/>
      </c>
      <c r="G30" s="13">
        <f>INDEX($F$4:$F$9,MATCH(Indicators!$B17,$A$4:$A$9,0))/INDEX($G$4:$G$9,MATCH(Indicators!$B17,$A$4:$A$9,0))</f>
        <v/>
      </c>
    </row>
    <row r="31">
      <c r="B31" s="6" t="inlineStr">
        <is>
          <t>Sum</t>
        </is>
      </c>
      <c r="C31" s="14">
        <f>SUM(C17:C30)</f>
        <v/>
      </c>
      <c r="D31" s="14">
        <f>SUM(D17:D30)</f>
        <v/>
      </c>
      <c r="E31" s="14">
        <f>SUM(E17:E30)</f>
        <v/>
      </c>
      <c r="F31" s="14">
        <f>SUM(F17:F30)</f>
        <v/>
      </c>
      <c r="G31" s="14">
        <f>SUM(G17:G30)</f>
        <v/>
      </c>
    </row>
  </sheetData>
  <mergeCells count="1">
    <mergeCell ref="A12:G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3" topLeftCell="A4" activePane="bottomLeft" state="frozen"/>
      <selection pane="bottomLeft" activeCell="A1" sqref="A1"/>
    </sheetView>
  </sheetViews>
  <sheetFormatPr baseColWidth="8" defaultRowHeight="15"/>
  <cols>
    <col width="7" customWidth="1" min="1" max="1"/>
    <col width="16" customWidth="1" min="2" max="2"/>
    <col width="46" customWidth="1" min="3" max="3"/>
    <col width="22" customWidth="1" min="4" max="4"/>
    <col width="26" customWidth="1" min="5" max="5"/>
    <col width="16" customWidth="1" min="6" max="6"/>
    <col width="44" customWidth="1" min="7" max="7"/>
    <col width="13" customWidth="1" min="8" max="8"/>
  </cols>
  <sheetData>
    <row r="1">
      <c r="A1" s="1" t="inlineStr">
        <is>
          <t>Common indicators, grouped by PESTEL dimension</t>
        </is>
      </c>
    </row>
    <row r="2">
      <c r="A2" s="2" t="inlineStr">
        <is>
          <t>Proposed by the instructor from the group shortlists. Same for all groups.</t>
        </is>
      </c>
    </row>
    <row r="3">
      <c r="A3" s="5" t="inlineStr">
        <is>
          <t>ID</t>
        </is>
      </c>
      <c r="B3" s="5" t="inlineStr">
        <is>
          <t>PESTEL dimension</t>
        </is>
      </c>
      <c r="C3" s="5" t="inlineStr">
        <is>
          <t>Indicator</t>
        </is>
      </c>
      <c r="D3" s="5" t="inlineStr">
        <is>
          <t>Julius Meinl dimension</t>
        </is>
      </c>
      <c r="E3" s="5" t="inlineStr">
        <is>
          <t>Unit</t>
        </is>
      </c>
      <c r="F3" s="5" t="inlineStr">
        <is>
          <t>Direction</t>
        </is>
      </c>
      <c r="G3" s="5" t="inlineStr">
        <is>
          <t>Source</t>
        </is>
      </c>
      <c r="H3" s="5" t="inlineStr">
        <is>
          <t>Type</t>
        </is>
      </c>
    </row>
    <row r="4">
      <c r="A4" s="9" t="inlineStr">
        <is>
          <t>P1</t>
        </is>
      </c>
      <c r="B4" s="15" t="inlineStr">
        <is>
          <t>Political</t>
        </is>
      </c>
      <c r="C4" s="15" t="inlineStr">
        <is>
          <t>Political stability and absence of violence</t>
        </is>
      </c>
      <c r="D4" s="15" t="inlineStr">
        <is>
          <t>Country risk</t>
        </is>
      </c>
      <c r="E4" s="15" t="inlineStr">
        <is>
          <t>Estimate, about -2.5 to 2.5</t>
        </is>
      </c>
      <c r="F4" s="15" t="inlineStr">
        <is>
          <t>Higher is better</t>
        </is>
      </c>
      <c r="G4" s="15" t="inlineStr">
        <is>
          <t>Worldwide Governance Indicators, World Bank</t>
        </is>
      </c>
      <c r="H4" s="15" t="inlineStr">
        <is>
          <t>Quantitative</t>
        </is>
      </c>
    </row>
    <row r="5">
      <c r="A5" s="9" t="inlineStr">
        <is>
          <t>P2</t>
        </is>
      </c>
      <c r="B5" s="15" t="inlineStr">
        <is>
          <t>Political</t>
        </is>
      </c>
      <c r="C5" s="15" t="inlineStr">
        <is>
          <t>Trade agreement between the EU and the country</t>
        </is>
      </c>
      <c r="D5" s="15" t="inlineStr">
        <is>
          <t>Import and regulation</t>
        </is>
      </c>
      <c r="E5" s="15" t="inlineStr">
        <is>
          <t>Score 1 to 5 (rubric A)</t>
        </is>
      </c>
      <c r="F5" s="15" t="inlineStr">
        <is>
          <t>Higher is better</t>
        </is>
      </c>
      <c r="G5" s="15" t="inlineStr">
        <is>
          <t>EU Access2Markets</t>
        </is>
      </c>
      <c r="H5" s="15" t="inlineStr">
        <is>
          <t>Rubric</t>
        </is>
      </c>
    </row>
    <row r="6">
      <c r="A6" s="9" t="inlineStr">
        <is>
          <t>E1</t>
        </is>
      </c>
      <c r="B6" s="15" t="inlineStr">
        <is>
          <t>Economic</t>
        </is>
      </c>
      <c r="C6" s="15" t="inlineStr">
        <is>
          <t>GDP per capita, PPP</t>
        </is>
      </c>
      <c r="D6" s="15" t="inlineStr">
        <is>
          <t>Purchasing power</t>
        </is>
      </c>
      <c r="E6" s="15" t="inlineStr">
        <is>
          <t>International dollars</t>
        </is>
      </c>
      <c r="F6" s="15" t="inlineStr">
        <is>
          <t>Higher is better</t>
        </is>
      </c>
      <c r="G6" s="15" t="inlineStr">
        <is>
          <t>World Development Indicators, World Bank</t>
        </is>
      </c>
      <c r="H6" s="15" t="inlineStr">
        <is>
          <t>Quantitative</t>
        </is>
      </c>
    </row>
    <row r="7">
      <c r="A7" s="9" t="inlineStr">
        <is>
          <t>E2</t>
        </is>
      </c>
      <c r="B7" s="15" t="inlineStr">
        <is>
          <t>Economic</t>
        </is>
      </c>
      <c r="C7" s="15" t="inlineStr">
        <is>
          <t>Household final consumption expenditure per capita</t>
        </is>
      </c>
      <c r="D7" s="15" t="inlineStr">
        <is>
          <t>Premium coffee segment</t>
        </is>
      </c>
      <c r="E7" s="15" t="inlineStr">
        <is>
          <t>US dollars</t>
        </is>
      </c>
      <c r="F7" s="15" t="inlineStr">
        <is>
          <t>Higher is better</t>
        </is>
      </c>
      <c r="G7" s="15" t="inlineStr">
        <is>
          <t>World Development Indicators, World Bank</t>
        </is>
      </c>
      <c r="H7" s="15" t="inlineStr">
        <is>
          <t>Quantitative</t>
        </is>
      </c>
    </row>
    <row r="8">
      <c r="A8" s="9" t="inlineStr">
        <is>
          <t>E3</t>
        </is>
      </c>
      <c r="B8" s="15" t="inlineStr">
        <is>
          <t>Economic</t>
        </is>
      </c>
      <c r="C8" s="15" t="inlineStr">
        <is>
          <t>Inflation, consumer prices</t>
        </is>
      </c>
      <c r="D8" s="15" t="inlineStr">
        <is>
          <t>Purchasing power</t>
        </is>
      </c>
      <c r="E8" s="15" t="inlineStr">
        <is>
          <t>% per year</t>
        </is>
      </c>
      <c r="F8" s="15" t="inlineStr">
        <is>
          <t>Lower is better</t>
        </is>
      </c>
      <c r="G8" s="15" t="inlineStr">
        <is>
          <t>World Development Indicators, World Bank</t>
        </is>
      </c>
      <c r="H8" s="15" t="inlineStr">
        <is>
          <t>Quantitative</t>
        </is>
      </c>
    </row>
    <row r="9">
      <c r="A9" s="9" t="inlineStr">
        <is>
          <t>E4</t>
        </is>
      </c>
      <c r="B9" s="15" t="inlineStr">
        <is>
          <t>Economic</t>
        </is>
      </c>
      <c r="C9" s="15" t="inlineStr">
        <is>
          <t>Applied tariff on roasted coffee (HS 0901.21), EU origin</t>
        </is>
      </c>
      <c r="D9" s="15" t="inlineStr">
        <is>
          <t>Import and regulation</t>
        </is>
      </c>
      <c r="E9" s="15" t="inlineStr">
        <is>
          <t>%</t>
        </is>
      </c>
      <c r="F9" s="15" t="inlineStr">
        <is>
          <t>Lower is better</t>
        </is>
      </c>
      <c r="G9" s="15" t="inlineStr">
        <is>
          <t>EU Access2Markets; WTO tariff data</t>
        </is>
      </c>
      <c r="H9" s="15" t="inlineStr">
        <is>
          <t>Quantitative</t>
        </is>
      </c>
    </row>
    <row r="10">
      <c r="A10" s="9" t="inlineStr">
        <is>
          <t>S1</t>
        </is>
      </c>
      <c r="B10" s="15" t="inlineStr">
        <is>
          <t>Social</t>
        </is>
      </c>
      <c r="C10" s="15" t="inlineStr">
        <is>
          <t>Coffee consumption per capita</t>
        </is>
      </c>
      <c r="D10" s="15" t="inlineStr">
        <is>
          <t>Coffee culture</t>
        </is>
      </c>
      <c r="E10" s="15" t="inlineStr">
        <is>
          <t>Kg per person (check unit)</t>
        </is>
      </c>
      <c r="F10" s="15" t="inlineStr">
        <is>
          <t>Higher is better</t>
        </is>
      </c>
      <c r="G10" s="15" t="inlineStr">
        <is>
          <t>International Coffee Organization</t>
        </is>
      </c>
      <c r="H10" s="15" t="inlineStr">
        <is>
          <t>Quantitative</t>
        </is>
      </c>
    </row>
    <row r="11">
      <c r="A11" s="9" t="inlineStr">
        <is>
          <t>S2</t>
        </is>
      </c>
      <c r="B11" s="15" t="inlineStr">
        <is>
          <t>Social</t>
        </is>
      </c>
      <c r="C11" s="15" t="inlineStr">
        <is>
          <t>International tourist arrivals</t>
        </is>
      </c>
      <c r="D11" s="15" t="inlineStr">
        <is>
          <t>Tourism and hotels</t>
        </is>
      </c>
      <c r="E11" s="15" t="inlineStr">
        <is>
          <t>Number of arrivals</t>
        </is>
      </c>
      <c r="F11" s="15" t="inlineStr">
        <is>
          <t>Higher is better</t>
        </is>
      </c>
      <c r="G11" s="15" t="inlineStr">
        <is>
          <t>World Development Indicators (UN Tourism data)</t>
        </is>
      </c>
      <c r="H11" s="15" t="inlineStr">
        <is>
          <t>Quantitative</t>
        </is>
      </c>
    </row>
    <row r="12">
      <c r="A12" s="9" t="inlineStr">
        <is>
          <t>S3</t>
        </is>
      </c>
      <c r="B12" s="15" t="inlineStr">
        <is>
          <t>Social</t>
        </is>
      </c>
      <c r="C12" s="15" t="inlineStr">
        <is>
          <t>Cafe culture</t>
        </is>
      </c>
      <c r="D12" s="15" t="inlineStr">
        <is>
          <t>Coffee culture</t>
        </is>
      </c>
      <c r="E12" s="15" t="inlineStr">
        <is>
          <t>Score 1 to 5 (rubric B)</t>
        </is>
      </c>
      <c r="F12" s="15" t="inlineStr">
        <is>
          <t>Higher is better</t>
        </is>
      </c>
      <c r="G12" s="15" t="inlineStr">
        <is>
          <t>Own assessment with sources</t>
        </is>
      </c>
      <c r="H12" s="15" t="inlineStr">
        <is>
          <t>Rubric</t>
        </is>
      </c>
    </row>
    <row r="13">
      <c r="A13" s="9" t="inlineStr">
        <is>
          <t>T1</t>
        </is>
      </c>
      <c r="B13" s="15" t="inlineStr">
        <is>
          <t>Technological</t>
        </is>
      </c>
      <c r="C13" s="15" t="inlineStr">
        <is>
          <t>Individuals using the Internet</t>
        </is>
      </c>
      <c r="D13" s="15" t="inlineStr">
        <is>
          <t>Premium coffee segment</t>
        </is>
      </c>
      <c r="E13" s="15" t="inlineStr">
        <is>
          <t>% of population</t>
        </is>
      </c>
      <c r="F13" s="15" t="inlineStr">
        <is>
          <t>Higher is better</t>
        </is>
      </c>
      <c r="G13" s="15" t="inlineStr">
        <is>
          <t>World Development Indicators, World Bank</t>
        </is>
      </c>
      <c r="H13" s="15" t="inlineStr">
        <is>
          <t>Quantitative</t>
        </is>
      </c>
    </row>
    <row r="14">
      <c r="A14" s="9" t="inlineStr">
        <is>
          <t>T2</t>
        </is>
      </c>
      <c r="B14" s="15" t="inlineStr">
        <is>
          <t>Technological</t>
        </is>
      </c>
      <c r="C14" s="15" t="inlineStr">
        <is>
          <t>Logistics Performance Index</t>
        </is>
      </c>
      <c r="D14" s="15" t="inlineStr">
        <is>
          <t>Import and regulation</t>
        </is>
      </c>
      <c r="E14" s="15" t="inlineStr">
        <is>
          <t>Score 1 to 5</t>
        </is>
      </c>
      <c r="F14" s="15" t="inlineStr">
        <is>
          <t>Higher is better</t>
        </is>
      </c>
      <c r="G14" s="15" t="inlineStr">
        <is>
          <t>Logistics Performance Index, World Bank</t>
        </is>
      </c>
      <c r="H14" s="15" t="inlineStr">
        <is>
          <t>Quantitative</t>
        </is>
      </c>
    </row>
    <row r="15">
      <c r="A15" s="9" t="inlineStr">
        <is>
          <t>N1</t>
        </is>
      </c>
      <c r="B15" s="15" t="inlineStr">
        <is>
          <t>Environmental</t>
        </is>
      </c>
      <c r="C15" s="15" t="inlineStr">
        <is>
          <t>Demand for certified and sustainable coffee</t>
        </is>
      </c>
      <c r="D15" s="15" t="inlineStr">
        <is>
          <t>Premium coffee segment</t>
        </is>
      </c>
      <c r="E15" s="15" t="inlineStr">
        <is>
          <t>Score 1 to 5 (rubric C)</t>
        </is>
      </c>
      <c r="F15" s="15" t="inlineStr">
        <is>
          <t>Higher is better</t>
        </is>
      </c>
      <c r="G15" s="15" t="inlineStr">
        <is>
          <t>Industry reports, certification bodies</t>
        </is>
      </c>
      <c r="H15" s="15" t="inlineStr">
        <is>
          <t>Rubric</t>
        </is>
      </c>
    </row>
    <row r="16">
      <c r="A16" s="9" t="inlineStr">
        <is>
          <t>L1</t>
        </is>
      </c>
      <c r="B16" s="15" t="inlineStr">
        <is>
          <t>Legal</t>
        </is>
      </c>
      <c r="C16" s="15" t="inlineStr">
        <is>
          <t>Regulatory quality</t>
        </is>
      </c>
      <c r="D16" s="15" t="inlineStr">
        <is>
          <t>Import and regulation</t>
        </is>
      </c>
      <c r="E16" s="15" t="inlineStr">
        <is>
          <t>Estimate, about -2.5 to 2.5</t>
        </is>
      </c>
      <c r="F16" s="15" t="inlineStr">
        <is>
          <t>Higher is better</t>
        </is>
      </c>
      <c r="G16" s="15" t="inlineStr">
        <is>
          <t>Worldwide Governance Indicators, World Bank</t>
        </is>
      </c>
      <c r="H16" s="15" t="inlineStr">
        <is>
          <t>Quantitative</t>
        </is>
      </c>
    </row>
    <row r="17">
      <c r="A17" s="9" t="inlineStr">
        <is>
          <t>L2</t>
        </is>
      </c>
      <c r="B17" s="15" t="inlineStr">
        <is>
          <t>Legal</t>
        </is>
      </c>
      <c r="C17" s="15" t="inlineStr">
        <is>
          <t>Product, labelling and certification requirements for coffee</t>
        </is>
      </c>
      <c r="D17" s="15" t="inlineStr">
        <is>
          <t>Import and regulation</t>
        </is>
      </c>
      <c r="E17" s="15" t="inlineStr">
        <is>
          <t>Score 1 to 5 (rubric D)</t>
        </is>
      </c>
      <c r="F17" s="15" t="inlineStr">
        <is>
          <t>Higher is better</t>
        </is>
      </c>
      <c r="G17" s="15" t="inlineStr">
        <is>
          <t>EU Access2Markets</t>
        </is>
      </c>
      <c r="H17" s="15" t="inlineStr">
        <is>
          <t>Rubric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5" customWidth="1" min="3" max="3"/>
    <col width="13" customWidth="1" min="4" max="4"/>
    <col width="7" customWidth="1" min="5" max="5"/>
    <col width="34" customWidth="1" min="6" max="6"/>
    <col width="13" customWidth="1" min="7" max="7"/>
    <col width="7" customWidth="1" min="8" max="8"/>
    <col width="34" customWidth="1" min="9" max="9"/>
    <col width="13" customWidth="1" min="10" max="10"/>
    <col width="7" customWidth="1" min="11" max="11"/>
    <col width="34" customWidth="1" min="12" max="12"/>
    <col width="13" customWidth="1" min="13" max="13"/>
    <col width="7" customWidth="1" min="14" max="14"/>
    <col width="34" customWidth="1" min="15" max="15"/>
    <col width="13" customWidth="1" min="16" max="16"/>
    <col width="7" customWidth="1" min="17" max="17"/>
    <col width="34" customWidth="1" min="18" max="18"/>
    <col width="13" customWidth="1" min="19" max="19"/>
    <col width="7" customWidth="1" min="20" max="20"/>
    <col width="34" customWidth="1" min="21" max="21"/>
  </cols>
  <sheetData>
    <row r="1">
      <c r="A1" s="1" t="inlineStr">
        <is>
          <t>Data: each group fills the yellow cells of its own country</t>
        </is>
      </c>
    </row>
    <row r="3">
      <c r="A3" s="4" t="inlineStr"/>
      <c r="D3" s="5" t="inlineStr">
        <is>
          <t>Argentina (Group 1)</t>
        </is>
      </c>
      <c r="E3" s="16" t="n"/>
      <c r="F3" s="16" t="n"/>
      <c r="G3" s="5" t="inlineStr">
        <is>
          <t>Brazil (Group 6)</t>
        </is>
      </c>
      <c r="H3" s="16" t="n"/>
      <c r="I3" s="16" t="n"/>
      <c r="J3" s="5" t="inlineStr">
        <is>
          <t>Chile (Group 2)</t>
        </is>
      </c>
      <c r="K3" s="16" t="n"/>
      <c r="L3" s="16" t="n"/>
      <c r="M3" s="5" t="inlineStr">
        <is>
          <t>Colombia (Group 4)</t>
        </is>
      </c>
      <c r="N3" s="16" t="n"/>
      <c r="O3" s="16" t="n"/>
      <c r="P3" s="5" t="inlineStr">
        <is>
          <t>Mexico (Group 3)</t>
        </is>
      </c>
      <c r="Q3" s="16" t="n"/>
      <c r="R3" s="16" t="n"/>
      <c r="S3" s="5" t="inlineStr">
        <is>
          <t>Uruguay (Group 5)</t>
        </is>
      </c>
      <c r="T3" s="16" t="n"/>
      <c r="U3" s="16" t="n"/>
    </row>
    <row r="4">
      <c r="A4" s="5" t="inlineStr">
        <is>
          <t>ID</t>
        </is>
      </c>
      <c r="B4" s="5" t="inlineStr">
        <is>
          <t>Indicator</t>
        </is>
      </c>
      <c r="C4" s="5" t="inlineStr">
        <is>
          <t>Direction</t>
        </is>
      </c>
      <c r="D4" s="5" t="inlineStr">
        <is>
          <t>Value</t>
        </is>
      </c>
      <c r="E4" s="5" t="inlineStr">
        <is>
          <t>Year</t>
        </is>
      </c>
      <c r="F4" s="5" t="inlineStr">
        <is>
          <t>Source and link</t>
        </is>
      </c>
      <c r="G4" s="5" t="inlineStr">
        <is>
          <t>Value</t>
        </is>
      </c>
      <c r="H4" s="5" t="inlineStr">
        <is>
          <t>Year</t>
        </is>
      </c>
      <c r="I4" s="5" t="inlineStr">
        <is>
          <t>Source and link</t>
        </is>
      </c>
      <c r="J4" s="5" t="inlineStr">
        <is>
          <t>Value</t>
        </is>
      </c>
      <c r="K4" s="5" t="inlineStr">
        <is>
          <t>Year</t>
        </is>
      </c>
      <c r="L4" s="5" t="inlineStr">
        <is>
          <t>Source and link</t>
        </is>
      </c>
      <c r="M4" s="5" t="inlineStr">
        <is>
          <t>Value</t>
        </is>
      </c>
      <c r="N4" s="5" t="inlineStr">
        <is>
          <t>Year</t>
        </is>
      </c>
      <c r="O4" s="5" t="inlineStr">
        <is>
          <t>Source and link</t>
        </is>
      </c>
      <c r="P4" s="5" t="inlineStr">
        <is>
          <t>Value</t>
        </is>
      </c>
      <c r="Q4" s="5" t="inlineStr">
        <is>
          <t>Year</t>
        </is>
      </c>
      <c r="R4" s="5" t="inlineStr">
        <is>
          <t>Source and link</t>
        </is>
      </c>
      <c r="S4" s="5" t="inlineStr">
        <is>
          <t>Value</t>
        </is>
      </c>
      <c r="T4" s="5" t="inlineStr">
        <is>
          <t>Year</t>
        </is>
      </c>
      <c r="U4" s="5" t="inlineStr">
        <is>
          <t>Source and link</t>
        </is>
      </c>
    </row>
    <row r="5">
      <c r="A5" s="8">
        <f>Indicators!A4</f>
        <v/>
      </c>
      <c r="B5" s="12">
        <f>Indicators!C4&amp;" ["&amp;Indicators!E4&amp;"]"</f>
        <v/>
      </c>
      <c r="C5" s="12">
        <f>Indicators!F4</f>
        <v/>
      </c>
      <c r="D5" s="17" t="n"/>
      <c r="E5" s="17" t="n"/>
      <c r="F5" s="18" t="n"/>
      <c r="G5" s="17" t="n"/>
      <c r="H5" s="17" t="n"/>
      <c r="I5" s="18" t="n"/>
      <c r="J5" s="17" t="n"/>
      <c r="K5" s="17" t="n"/>
      <c r="L5" s="18" t="n"/>
      <c r="M5" s="17" t="n"/>
      <c r="N5" s="17" t="n"/>
      <c r="O5" s="18" t="n"/>
      <c r="P5" s="17" t="n"/>
      <c r="Q5" s="17" t="n"/>
      <c r="R5" s="18" t="n"/>
      <c r="S5" s="17" t="n"/>
      <c r="T5" s="17" t="n"/>
      <c r="U5" s="18" t="n"/>
    </row>
    <row r="6">
      <c r="A6" s="8">
        <f>Indicators!A5</f>
        <v/>
      </c>
      <c r="B6" s="12">
        <f>Indicators!C5&amp;" ["&amp;Indicators!E5&amp;"]"</f>
        <v/>
      </c>
      <c r="C6" s="12">
        <f>Indicators!F5</f>
        <v/>
      </c>
      <c r="D6" s="17" t="n"/>
      <c r="E6" s="17" t="n"/>
      <c r="F6" s="18" t="n"/>
      <c r="G6" s="17" t="n"/>
      <c r="H6" s="17" t="n"/>
      <c r="I6" s="18" t="n"/>
      <c r="J6" s="17" t="n"/>
      <c r="K6" s="17" t="n"/>
      <c r="L6" s="18" t="n"/>
      <c r="M6" s="17" t="n"/>
      <c r="N6" s="17" t="n"/>
      <c r="O6" s="18" t="n"/>
      <c r="P6" s="17" t="n"/>
      <c r="Q6" s="17" t="n"/>
      <c r="R6" s="18" t="n"/>
      <c r="S6" s="17" t="n"/>
      <c r="T6" s="17" t="n"/>
      <c r="U6" s="18" t="n"/>
    </row>
    <row r="7">
      <c r="A7" s="8">
        <f>Indicators!A6</f>
        <v/>
      </c>
      <c r="B7" s="12">
        <f>Indicators!C6&amp;" ["&amp;Indicators!E6&amp;"]"</f>
        <v/>
      </c>
      <c r="C7" s="12">
        <f>Indicators!F6</f>
        <v/>
      </c>
      <c r="D7" s="17" t="n"/>
      <c r="E7" s="17" t="n"/>
      <c r="F7" s="18" t="n"/>
      <c r="G7" s="17" t="n"/>
      <c r="H7" s="17" t="n"/>
      <c r="I7" s="18" t="n"/>
      <c r="J7" s="17" t="n"/>
      <c r="K7" s="17" t="n"/>
      <c r="L7" s="18" t="n"/>
      <c r="M7" s="17" t="n"/>
      <c r="N7" s="17" t="n"/>
      <c r="O7" s="18" t="n"/>
      <c r="P7" s="17" t="n"/>
      <c r="Q7" s="17" t="n"/>
      <c r="R7" s="18" t="n"/>
      <c r="S7" s="17" t="n"/>
      <c r="T7" s="17" t="n"/>
      <c r="U7" s="18" t="n"/>
    </row>
    <row r="8">
      <c r="A8" s="8">
        <f>Indicators!A7</f>
        <v/>
      </c>
      <c r="B8" s="12">
        <f>Indicators!C7&amp;" ["&amp;Indicators!E7&amp;"]"</f>
        <v/>
      </c>
      <c r="C8" s="12">
        <f>Indicators!F7</f>
        <v/>
      </c>
      <c r="D8" s="17" t="n"/>
      <c r="E8" s="17" t="n"/>
      <c r="F8" s="18" t="n"/>
      <c r="G8" s="17" t="n"/>
      <c r="H8" s="17" t="n"/>
      <c r="I8" s="18" t="n"/>
      <c r="J8" s="17" t="n"/>
      <c r="K8" s="17" t="n"/>
      <c r="L8" s="18" t="n"/>
      <c r="M8" s="17" t="n"/>
      <c r="N8" s="17" t="n"/>
      <c r="O8" s="18" t="n"/>
      <c r="P8" s="17" t="n"/>
      <c r="Q8" s="17" t="n"/>
      <c r="R8" s="18" t="n"/>
      <c r="S8" s="17" t="n"/>
      <c r="T8" s="17" t="n"/>
      <c r="U8" s="18" t="n"/>
    </row>
    <row r="9">
      <c r="A9" s="8">
        <f>Indicators!A8</f>
        <v/>
      </c>
      <c r="B9" s="12">
        <f>Indicators!C8&amp;" ["&amp;Indicators!E8&amp;"]"</f>
        <v/>
      </c>
      <c r="C9" s="12">
        <f>Indicators!F8</f>
        <v/>
      </c>
      <c r="D9" s="17" t="n"/>
      <c r="E9" s="17" t="n"/>
      <c r="F9" s="18" t="n"/>
      <c r="G9" s="17" t="n"/>
      <c r="H9" s="17" t="n"/>
      <c r="I9" s="18" t="n"/>
      <c r="J9" s="17" t="n"/>
      <c r="K9" s="17" t="n"/>
      <c r="L9" s="18" t="n"/>
      <c r="M9" s="17" t="n"/>
      <c r="N9" s="17" t="n"/>
      <c r="O9" s="18" t="n"/>
      <c r="P9" s="17" t="n"/>
      <c r="Q9" s="17" t="n"/>
      <c r="R9" s="18" t="n"/>
      <c r="S9" s="17" t="n"/>
      <c r="T9" s="17" t="n"/>
      <c r="U9" s="18" t="n"/>
    </row>
    <row r="10">
      <c r="A10" s="8">
        <f>Indicators!A9</f>
        <v/>
      </c>
      <c r="B10" s="12">
        <f>Indicators!C9&amp;" ["&amp;Indicators!E9&amp;"]"</f>
        <v/>
      </c>
      <c r="C10" s="12">
        <f>Indicators!F9</f>
        <v/>
      </c>
      <c r="D10" s="17" t="n"/>
      <c r="E10" s="17" t="n"/>
      <c r="F10" s="18" t="n"/>
      <c r="G10" s="17" t="n"/>
      <c r="H10" s="17" t="n"/>
      <c r="I10" s="18" t="n"/>
      <c r="J10" s="17" t="n"/>
      <c r="K10" s="17" t="n"/>
      <c r="L10" s="18" t="n"/>
      <c r="M10" s="17" t="n"/>
      <c r="N10" s="17" t="n"/>
      <c r="O10" s="18" t="n"/>
      <c r="P10" s="17" t="n"/>
      <c r="Q10" s="17" t="n"/>
      <c r="R10" s="18" t="n"/>
      <c r="S10" s="17" t="n"/>
      <c r="T10" s="17" t="n"/>
      <c r="U10" s="18" t="n"/>
    </row>
    <row r="11">
      <c r="A11" s="8">
        <f>Indicators!A10</f>
        <v/>
      </c>
      <c r="B11" s="12">
        <f>Indicators!C10&amp;" ["&amp;Indicators!E10&amp;"]"</f>
        <v/>
      </c>
      <c r="C11" s="12">
        <f>Indicators!F10</f>
        <v/>
      </c>
      <c r="D11" s="17" t="n"/>
      <c r="E11" s="17" t="n"/>
      <c r="F11" s="18" t="n"/>
      <c r="G11" s="17" t="n"/>
      <c r="H11" s="17" t="n"/>
      <c r="I11" s="18" t="n"/>
      <c r="J11" s="17" t="n"/>
      <c r="K11" s="17" t="n"/>
      <c r="L11" s="18" t="n"/>
      <c r="M11" s="17" t="n"/>
      <c r="N11" s="17" t="n"/>
      <c r="O11" s="18" t="n"/>
      <c r="P11" s="17" t="n"/>
      <c r="Q11" s="17" t="n"/>
      <c r="R11" s="18" t="n"/>
      <c r="S11" s="17" t="n"/>
      <c r="T11" s="17" t="n"/>
      <c r="U11" s="18" t="n"/>
    </row>
    <row r="12">
      <c r="A12" s="8">
        <f>Indicators!A11</f>
        <v/>
      </c>
      <c r="B12" s="12">
        <f>Indicators!C11&amp;" ["&amp;Indicators!E11&amp;"]"</f>
        <v/>
      </c>
      <c r="C12" s="12">
        <f>Indicators!F11</f>
        <v/>
      </c>
      <c r="D12" s="17" t="n"/>
      <c r="E12" s="17" t="n"/>
      <c r="F12" s="18" t="n"/>
      <c r="G12" s="17" t="n"/>
      <c r="H12" s="17" t="n"/>
      <c r="I12" s="18" t="n"/>
      <c r="J12" s="17" t="n"/>
      <c r="K12" s="17" t="n"/>
      <c r="L12" s="18" t="n"/>
      <c r="M12" s="17" t="n"/>
      <c r="N12" s="17" t="n"/>
      <c r="O12" s="18" t="n"/>
      <c r="P12" s="17" t="n"/>
      <c r="Q12" s="17" t="n"/>
      <c r="R12" s="18" t="n"/>
      <c r="S12" s="17" t="n"/>
      <c r="T12" s="17" t="n"/>
      <c r="U12" s="18" t="n"/>
    </row>
    <row r="13">
      <c r="A13" s="8">
        <f>Indicators!A12</f>
        <v/>
      </c>
      <c r="B13" s="12">
        <f>Indicators!C12&amp;" ["&amp;Indicators!E12&amp;"]"</f>
        <v/>
      </c>
      <c r="C13" s="12">
        <f>Indicators!F12</f>
        <v/>
      </c>
      <c r="D13" s="17" t="n"/>
      <c r="E13" s="17" t="n"/>
      <c r="F13" s="18" t="n"/>
      <c r="G13" s="17" t="n"/>
      <c r="H13" s="17" t="n"/>
      <c r="I13" s="18" t="n"/>
      <c r="J13" s="17" t="n"/>
      <c r="K13" s="17" t="n"/>
      <c r="L13" s="18" t="n"/>
      <c r="M13" s="17" t="n"/>
      <c r="N13" s="17" t="n"/>
      <c r="O13" s="18" t="n"/>
      <c r="P13" s="17" t="n"/>
      <c r="Q13" s="17" t="n"/>
      <c r="R13" s="18" t="n"/>
      <c r="S13" s="17" t="n"/>
      <c r="T13" s="17" t="n"/>
      <c r="U13" s="18" t="n"/>
    </row>
    <row r="14">
      <c r="A14" s="8">
        <f>Indicators!A13</f>
        <v/>
      </c>
      <c r="B14" s="12">
        <f>Indicators!C13&amp;" ["&amp;Indicators!E13&amp;"]"</f>
        <v/>
      </c>
      <c r="C14" s="12">
        <f>Indicators!F13</f>
        <v/>
      </c>
      <c r="D14" s="17" t="n"/>
      <c r="E14" s="17" t="n"/>
      <c r="F14" s="18" t="n"/>
      <c r="G14" s="17" t="n"/>
      <c r="H14" s="17" t="n"/>
      <c r="I14" s="18" t="n"/>
      <c r="J14" s="17" t="n"/>
      <c r="K14" s="17" t="n"/>
      <c r="L14" s="18" t="n"/>
      <c r="M14" s="17" t="n"/>
      <c r="N14" s="17" t="n"/>
      <c r="O14" s="18" t="n"/>
      <c r="P14" s="17" t="n"/>
      <c r="Q14" s="17" t="n"/>
      <c r="R14" s="18" t="n"/>
      <c r="S14" s="17" t="n"/>
      <c r="T14" s="17" t="n"/>
      <c r="U14" s="18" t="n"/>
    </row>
    <row r="15">
      <c r="A15" s="8">
        <f>Indicators!A14</f>
        <v/>
      </c>
      <c r="B15" s="12">
        <f>Indicators!C14&amp;" ["&amp;Indicators!E14&amp;"]"</f>
        <v/>
      </c>
      <c r="C15" s="12">
        <f>Indicators!F14</f>
        <v/>
      </c>
      <c r="D15" s="17" t="n"/>
      <c r="E15" s="17" t="n"/>
      <c r="F15" s="18" t="n"/>
      <c r="G15" s="17" t="n"/>
      <c r="H15" s="17" t="n"/>
      <c r="I15" s="18" t="n"/>
      <c r="J15" s="17" t="n"/>
      <c r="K15" s="17" t="n"/>
      <c r="L15" s="18" t="n"/>
      <c r="M15" s="17" t="n"/>
      <c r="N15" s="17" t="n"/>
      <c r="O15" s="18" t="n"/>
      <c r="P15" s="17" t="n"/>
      <c r="Q15" s="17" t="n"/>
      <c r="R15" s="18" t="n"/>
      <c r="S15" s="17" t="n"/>
      <c r="T15" s="17" t="n"/>
      <c r="U15" s="18" t="n"/>
    </row>
    <row r="16">
      <c r="A16" s="8">
        <f>Indicators!A15</f>
        <v/>
      </c>
      <c r="B16" s="12">
        <f>Indicators!C15&amp;" ["&amp;Indicators!E15&amp;"]"</f>
        <v/>
      </c>
      <c r="C16" s="12">
        <f>Indicators!F15</f>
        <v/>
      </c>
      <c r="D16" s="17" t="n"/>
      <c r="E16" s="17" t="n"/>
      <c r="F16" s="18" t="n"/>
      <c r="G16" s="17" t="n"/>
      <c r="H16" s="17" t="n"/>
      <c r="I16" s="18" t="n"/>
      <c r="J16" s="17" t="n"/>
      <c r="K16" s="17" t="n"/>
      <c r="L16" s="18" t="n"/>
      <c r="M16" s="17" t="n"/>
      <c r="N16" s="17" t="n"/>
      <c r="O16" s="18" t="n"/>
      <c r="P16" s="17" t="n"/>
      <c r="Q16" s="17" t="n"/>
      <c r="R16" s="18" t="n"/>
      <c r="S16" s="17" t="n"/>
      <c r="T16" s="17" t="n"/>
      <c r="U16" s="18" t="n"/>
    </row>
    <row r="17">
      <c r="A17" s="8">
        <f>Indicators!A16</f>
        <v/>
      </c>
      <c r="B17" s="12">
        <f>Indicators!C16&amp;" ["&amp;Indicators!E16&amp;"]"</f>
        <v/>
      </c>
      <c r="C17" s="12">
        <f>Indicators!F16</f>
        <v/>
      </c>
      <c r="D17" s="17" t="n"/>
      <c r="E17" s="17" t="n"/>
      <c r="F17" s="18" t="n"/>
      <c r="G17" s="17" t="n"/>
      <c r="H17" s="17" t="n"/>
      <c r="I17" s="18" t="n"/>
      <c r="J17" s="17" t="n"/>
      <c r="K17" s="17" t="n"/>
      <c r="L17" s="18" t="n"/>
      <c r="M17" s="17" t="n"/>
      <c r="N17" s="17" t="n"/>
      <c r="O17" s="18" t="n"/>
      <c r="P17" s="17" t="n"/>
      <c r="Q17" s="17" t="n"/>
      <c r="R17" s="18" t="n"/>
      <c r="S17" s="17" t="n"/>
      <c r="T17" s="17" t="n"/>
      <c r="U17" s="18" t="n"/>
    </row>
    <row r="18">
      <c r="A18" s="8">
        <f>Indicators!A17</f>
        <v/>
      </c>
      <c r="B18" s="12">
        <f>Indicators!C17&amp;" ["&amp;Indicators!E17&amp;"]"</f>
        <v/>
      </c>
      <c r="C18" s="12">
        <f>Indicators!F17</f>
        <v/>
      </c>
      <c r="D18" s="17" t="n"/>
      <c r="E18" s="17" t="n"/>
      <c r="F18" s="18" t="n"/>
      <c r="G18" s="17" t="n"/>
      <c r="H18" s="17" t="n"/>
      <c r="I18" s="18" t="n"/>
      <c r="J18" s="17" t="n"/>
      <c r="K18" s="17" t="n"/>
      <c r="L18" s="18" t="n"/>
      <c r="M18" s="17" t="n"/>
      <c r="N18" s="17" t="n"/>
      <c r="O18" s="18" t="n"/>
      <c r="P18" s="17" t="n"/>
      <c r="Q18" s="17" t="n"/>
      <c r="R18" s="18" t="n"/>
      <c r="S18" s="17" t="n"/>
      <c r="T18" s="17" t="n"/>
      <c r="U18" s="18" t="n"/>
    </row>
  </sheetData>
  <mergeCells count="6">
    <mergeCell ref="M3:O3"/>
    <mergeCell ref="D3:F3"/>
    <mergeCell ref="S3:U3"/>
    <mergeCell ref="G3:I3"/>
    <mergeCell ref="J3:L3"/>
    <mergeCell ref="P3:R3"/>
  </mergeCells>
  <dataValidations count="1">
    <dataValidation sqref="D6 D13 D16 D18 G6 G13 G16 G18 J6 J13 J16 J18 M6 M13 M16 M18 P6 P13 P16 P18 S6 S13 S16 S18" showDropDown="0" showInputMessage="0" showErrorMessage="1" allowBlank="1" errorTitle="Rubric score" error="Enter a whole number from 1 to 5." type="whole" operator="between">
      <formula1>1</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Normalised scores 0 to 100 (min-max, direction respected)</t>
        </is>
      </c>
    </row>
    <row r="2">
      <c r="A2" s="2" t="inlineStr">
        <is>
          <t>Best country = 100, weakest = 0 on each indicator. Exaggerates small differences with six countries.</t>
        </is>
      </c>
    </row>
    <row r="3">
      <c r="A3" s="5" t="inlineStr">
        <is>
          <t>ID</t>
        </is>
      </c>
      <c r="B3" s="5" t="inlineStr">
        <is>
          <t>Indicator</t>
        </is>
      </c>
      <c r="C3" s="5" t="inlineStr">
        <is>
          <t>Argentina</t>
        </is>
      </c>
      <c r="D3" s="5" t="inlineStr">
        <is>
          <t>Brazil</t>
        </is>
      </c>
      <c r="E3" s="5" t="inlineStr">
        <is>
          <t>Chile</t>
        </is>
      </c>
      <c r="F3" s="5" t="inlineStr">
        <is>
          <t>Colombia</t>
        </is>
      </c>
      <c r="G3" s="5" t="inlineStr">
        <is>
          <t>Mexico</t>
        </is>
      </c>
      <c r="H3" s="5" t="inlineStr">
        <is>
          <t>Uruguay</t>
        </is>
      </c>
    </row>
    <row r="4">
      <c r="A4" s="8">
        <f>Indicators!A4</f>
        <v/>
      </c>
      <c r="B4" s="12">
        <f>Indicators!C4</f>
        <v/>
      </c>
      <c r="C4" s="13">
        <f>IF(COUNT(Data!D5,Data!G5,Data!J5,Data!M5,Data!P5,Data!S5)&lt;6,"",IF(MAX(Data!D5,Data!G5,Data!J5,Data!M5,Data!P5,Data!S5)=MIN(Data!D5,Data!G5,Data!J5,Data!M5,Data!P5,Data!S5),"",IF(Data!$C5="Lower is better",100*(MAX(Data!D5,Data!G5,Data!J5,Data!M5,Data!P5,Data!S5)-Data!D5)/(MAX(Data!D5,Data!G5,Data!J5,Data!M5,Data!P5,Data!S5)-MIN(Data!D5,Data!G5,Data!J5,Data!M5,Data!P5,Data!S5)),100*(Data!D5-MIN(Data!D5,Data!G5,Data!J5,Data!M5,Data!P5,Data!S5))/(MAX(Data!D5,Data!G5,Data!J5,Data!M5,Data!P5,Data!S5)-MIN(Data!D5,Data!G5,Data!J5,Data!M5,Data!P5,Data!S5)))))</f>
        <v/>
      </c>
      <c r="D4" s="13">
        <f>IF(COUNT(Data!D5,Data!G5,Data!J5,Data!M5,Data!P5,Data!S5)&lt;6,"",IF(MAX(Data!D5,Data!G5,Data!J5,Data!M5,Data!P5,Data!S5)=MIN(Data!D5,Data!G5,Data!J5,Data!M5,Data!P5,Data!S5),"",IF(Data!$C5="Lower is better",100*(MAX(Data!D5,Data!G5,Data!J5,Data!M5,Data!P5,Data!S5)-Data!G5)/(MAX(Data!D5,Data!G5,Data!J5,Data!M5,Data!P5,Data!S5)-MIN(Data!D5,Data!G5,Data!J5,Data!M5,Data!P5,Data!S5)),100*(Data!G5-MIN(Data!D5,Data!G5,Data!J5,Data!M5,Data!P5,Data!S5))/(MAX(Data!D5,Data!G5,Data!J5,Data!M5,Data!P5,Data!S5)-MIN(Data!D5,Data!G5,Data!J5,Data!M5,Data!P5,Data!S5)))))</f>
        <v/>
      </c>
      <c r="E4" s="13">
        <f>IF(COUNT(Data!D5,Data!G5,Data!J5,Data!M5,Data!P5,Data!S5)&lt;6,"",IF(MAX(Data!D5,Data!G5,Data!J5,Data!M5,Data!P5,Data!S5)=MIN(Data!D5,Data!G5,Data!J5,Data!M5,Data!P5,Data!S5),"",IF(Data!$C5="Lower is better",100*(MAX(Data!D5,Data!G5,Data!J5,Data!M5,Data!P5,Data!S5)-Data!J5)/(MAX(Data!D5,Data!G5,Data!J5,Data!M5,Data!P5,Data!S5)-MIN(Data!D5,Data!G5,Data!J5,Data!M5,Data!P5,Data!S5)),100*(Data!J5-MIN(Data!D5,Data!G5,Data!J5,Data!M5,Data!P5,Data!S5))/(MAX(Data!D5,Data!G5,Data!J5,Data!M5,Data!P5,Data!S5)-MIN(Data!D5,Data!G5,Data!J5,Data!M5,Data!P5,Data!S5)))))</f>
        <v/>
      </c>
      <c r="F4" s="13">
        <f>IF(COUNT(Data!D5,Data!G5,Data!J5,Data!M5,Data!P5,Data!S5)&lt;6,"",IF(MAX(Data!D5,Data!G5,Data!J5,Data!M5,Data!P5,Data!S5)=MIN(Data!D5,Data!G5,Data!J5,Data!M5,Data!P5,Data!S5),"",IF(Data!$C5="Lower is better",100*(MAX(Data!D5,Data!G5,Data!J5,Data!M5,Data!P5,Data!S5)-Data!M5)/(MAX(Data!D5,Data!G5,Data!J5,Data!M5,Data!P5,Data!S5)-MIN(Data!D5,Data!G5,Data!J5,Data!M5,Data!P5,Data!S5)),100*(Data!M5-MIN(Data!D5,Data!G5,Data!J5,Data!M5,Data!P5,Data!S5))/(MAX(Data!D5,Data!G5,Data!J5,Data!M5,Data!P5,Data!S5)-MIN(Data!D5,Data!G5,Data!J5,Data!M5,Data!P5,Data!S5)))))</f>
        <v/>
      </c>
      <c r="G4" s="13">
        <f>IF(COUNT(Data!D5,Data!G5,Data!J5,Data!M5,Data!P5,Data!S5)&lt;6,"",IF(MAX(Data!D5,Data!G5,Data!J5,Data!M5,Data!P5,Data!S5)=MIN(Data!D5,Data!G5,Data!J5,Data!M5,Data!P5,Data!S5),"",IF(Data!$C5="Lower is better",100*(MAX(Data!D5,Data!G5,Data!J5,Data!M5,Data!P5,Data!S5)-Data!P5)/(MAX(Data!D5,Data!G5,Data!J5,Data!M5,Data!P5,Data!S5)-MIN(Data!D5,Data!G5,Data!J5,Data!M5,Data!P5,Data!S5)),100*(Data!P5-MIN(Data!D5,Data!G5,Data!J5,Data!M5,Data!P5,Data!S5))/(MAX(Data!D5,Data!G5,Data!J5,Data!M5,Data!P5,Data!S5)-MIN(Data!D5,Data!G5,Data!J5,Data!M5,Data!P5,Data!S5)))))</f>
        <v/>
      </c>
      <c r="H4" s="13">
        <f>IF(COUNT(Data!D5,Data!G5,Data!J5,Data!M5,Data!P5,Data!S5)&lt;6,"",IF(MAX(Data!D5,Data!G5,Data!J5,Data!M5,Data!P5,Data!S5)=MIN(Data!D5,Data!G5,Data!J5,Data!M5,Data!P5,Data!S5),"",IF(Data!$C5="Lower is better",100*(MAX(Data!D5,Data!G5,Data!J5,Data!M5,Data!P5,Data!S5)-Data!S5)/(MAX(Data!D5,Data!G5,Data!J5,Data!M5,Data!P5,Data!S5)-MIN(Data!D5,Data!G5,Data!J5,Data!M5,Data!P5,Data!S5)),100*(Data!S5-MIN(Data!D5,Data!G5,Data!J5,Data!M5,Data!P5,Data!S5))/(MAX(Data!D5,Data!G5,Data!J5,Data!M5,Data!P5,Data!S5)-MIN(Data!D5,Data!G5,Data!J5,Data!M5,Data!P5,Data!S5)))))</f>
        <v/>
      </c>
    </row>
    <row r="5">
      <c r="A5" s="8">
        <f>Indicators!A5</f>
        <v/>
      </c>
      <c r="B5" s="12">
        <f>Indicators!C5</f>
        <v/>
      </c>
      <c r="C5" s="13">
        <f>IF(COUNT(Data!D6,Data!G6,Data!J6,Data!M6,Data!P6,Data!S6)&lt;6,"",IF(MAX(Data!D6,Data!G6,Data!J6,Data!M6,Data!P6,Data!S6)=MIN(Data!D6,Data!G6,Data!J6,Data!M6,Data!P6,Data!S6),"",IF(Data!$C6="Lower is better",100*(MAX(Data!D6,Data!G6,Data!J6,Data!M6,Data!P6,Data!S6)-Data!D6)/(MAX(Data!D6,Data!G6,Data!J6,Data!M6,Data!P6,Data!S6)-MIN(Data!D6,Data!G6,Data!J6,Data!M6,Data!P6,Data!S6)),100*(Data!D6-MIN(Data!D6,Data!G6,Data!J6,Data!M6,Data!P6,Data!S6))/(MAX(Data!D6,Data!G6,Data!J6,Data!M6,Data!P6,Data!S6)-MIN(Data!D6,Data!G6,Data!J6,Data!M6,Data!P6,Data!S6)))))</f>
        <v/>
      </c>
      <c r="D5" s="13">
        <f>IF(COUNT(Data!D6,Data!G6,Data!J6,Data!M6,Data!P6,Data!S6)&lt;6,"",IF(MAX(Data!D6,Data!G6,Data!J6,Data!M6,Data!P6,Data!S6)=MIN(Data!D6,Data!G6,Data!J6,Data!M6,Data!P6,Data!S6),"",IF(Data!$C6="Lower is better",100*(MAX(Data!D6,Data!G6,Data!J6,Data!M6,Data!P6,Data!S6)-Data!G6)/(MAX(Data!D6,Data!G6,Data!J6,Data!M6,Data!P6,Data!S6)-MIN(Data!D6,Data!G6,Data!J6,Data!M6,Data!P6,Data!S6)),100*(Data!G6-MIN(Data!D6,Data!G6,Data!J6,Data!M6,Data!P6,Data!S6))/(MAX(Data!D6,Data!G6,Data!J6,Data!M6,Data!P6,Data!S6)-MIN(Data!D6,Data!G6,Data!J6,Data!M6,Data!P6,Data!S6)))))</f>
        <v/>
      </c>
      <c r="E5" s="13">
        <f>IF(COUNT(Data!D6,Data!G6,Data!J6,Data!M6,Data!P6,Data!S6)&lt;6,"",IF(MAX(Data!D6,Data!G6,Data!J6,Data!M6,Data!P6,Data!S6)=MIN(Data!D6,Data!G6,Data!J6,Data!M6,Data!P6,Data!S6),"",IF(Data!$C6="Lower is better",100*(MAX(Data!D6,Data!G6,Data!J6,Data!M6,Data!P6,Data!S6)-Data!J6)/(MAX(Data!D6,Data!G6,Data!J6,Data!M6,Data!P6,Data!S6)-MIN(Data!D6,Data!G6,Data!J6,Data!M6,Data!P6,Data!S6)),100*(Data!J6-MIN(Data!D6,Data!G6,Data!J6,Data!M6,Data!P6,Data!S6))/(MAX(Data!D6,Data!G6,Data!J6,Data!M6,Data!P6,Data!S6)-MIN(Data!D6,Data!G6,Data!J6,Data!M6,Data!P6,Data!S6)))))</f>
        <v/>
      </c>
      <c r="F5" s="13">
        <f>IF(COUNT(Data!D6,Data!G6,Data!J6,Data!M6,Data!P6,Data!S6)&lt;6,"",IF(MAX(Data!D6,Data!G6,Data!J6,Data!M6,Data!P6,Data!S6)=MIN(Data!D6,Data!G6,Data!J6,Data!M6,Data!P6,Data!S6),"",IF(Data!$C6="Lower is better",100*(MAX(Data!D6,Data!G6,Data!J6,Data!M6,Data!P6,Data!S6)-Data!M6)/(MAX(Data!D6,Data!G6,Data!J6,Data!M6,Data!P6,Data!S6)-MIN(Data!D6,Data!G6,Data!J6,Data!M6,Data!P6,Data!S6)),100*(Data!M6-MIN(Data!D6,Data!G6,Data!J6,Data!M6,Data!P6,Data!S6))/(MAX(Data!D6,Data!G6,Data!J6,Data!M6,Data!P6,Data!S6)-MIN(Data!D6,Data!G6,Data!J6,Data!M6,Data!P6,Data!S6)))))</f>
        <v/>
      </c>
      <c r="G5" s="13">
        <f>IF(COUNT(Data!D6,Data!G6,Data!J6,Data!M6,Data!P6,Data!S6)&lt;6,"",IF(MAX(Data!D6,Data!G6,Data!J6,Data!M6,Data!P6,Data!S6)=MIN(Data!D6,Data!G6,Data!J6,Data!M6,Data!P6,Data!S6),"",IF(Data!$C6="Lower is better",100*(MAX(Data!D6,Data!G6,Data!J6,Data!M6,Data!P6,Data!S6)-Data!P6)/(MAX(Data!D6,Data!G6,Data!J6,Data!M6,Data!P6,Data!S6)-MIN(Data!D6,Data!G6,Data!J6,Data!M6,Data!P6,Data!S6)),100*(Data!P6-MIN(Data!D6,Data!G6,Data!J6,Data!M6,Data!P6,Data!S6))/(MAX(Data!D6,Data!G6,Data!J6,Data!M6,Data!P6,Data!S6)-MIN(Data!D6,Data!G6,Data!J6,Data!M6,Data!P6,Data!S6)))))</f>
        <v/>
      </c>
      <c r="H5" s="13">
        <f>IF(COUNT(Data!D6,Data!G6,Data!J6,Data!M6,Data!P6,Data!S6)&lt;6,"",IF(MAX(Data!D6,Data!G6,Data!J6,Data!M6,Data!P6,Data!S6)=MIN(Data!D6,Data!G6,Data!J6,Data!M6,Data!P6,Data!S6),"",IF(Data!$C6="Lower is better",100*(MAX(Data!D6,Data!G6,Data!J6,Data!M6,Data!P6,Data!S6)-Data!S6)/(MAX(Data!D6,Data!G6,Data!J6,Data!M6,Data!P6,Data!S6)-MIN(Data!D6,Data!G6,Data!J6,Data!M6,Data!P6,Data!S6)),100*(Data!S6-MIN(Data!D6,Data!G6,Data!J6,Data!M6,Data!P6,Data!S6))/(MAX(Data!D6,Data!G6,Data!J6,Data!M6,Data!P6,Data!S6)-MIN(Data!D6,Data!G6,Data!J6,Data!M6,Data!P6,Data!S6)))))</f>
        <v/>
      </c>
    </row>
    <row r="6">
      <c r="A6" s="8">
        <f>Indicators!A6</f>
        <v/>
      </c>
      <c r="B6" s="12">
        <f>Indicators!C6</f>
        <v/>
      </c>
      <c r="C6" s="13">
        <f>IF(COUNT(Data!D7,Data!G7,Data!J7,Data!M7,Data!P7,Data!S7)&lt;6,"",IF(MAX(Data!D7,Data!G7,Data!J7,Data!M7,Data!P7,Data!S7)=MIN(Data!D7,Data!G7,Data!J7,Data!M7,Data!P7,Data!S7),"",IF(Data!$C7="Lower is better",100*(MAX(Data!D7,Data!G7,Data!J7,Data!M7,Data!P7,Data!S7)-Data!D7)/(MAX(Data!D7,Data!G7,Data!J7,Data!M7,Data!P7,Data!S7)-MIN(Data!D7,Data!G7,Data!J7,Data!M7,Data!P7,Data!S7)),100*(Data!D7-MIN(Data!D7,Data!G7,Data!J7,Data!M7,Data!P7,Data!S7))/(MAX(Data!D7,Data!G7,Data!J7,Data!M7,Data!P7,Data!S7)-MIN(Data!D7,Data!G7,Data!J7,Data!M7,Data!P7,Data!S7)))))</f>
        <v/>
      </c>
      <c r="D6" s="13">
        <f>IF(COUNT(Data!D7,Data!G7,Data!J7,Data!M7,Data!P7,Data!S7)&lt;6,"",IF(MAX(Data!D7,Data!G7,Data!J7,Data!M7,Data!P7,Data!S7)=MIN(Data!D7,Data!G7,Data!J7,Data!M7,Data!P7,Data!S7),"",IF(Data!$C7="Lower is better",100*(MAX(Data!D7,Data!G7,Data!J7,Data!M7,Data!P7,Data!S7)-Data!G7)/(MAX(Data!D7,Data!G7,Data!J7,Data!M7,Data!P7,Data!S7)-MIN(Data!D7,Data!G7,Data!J7,Data!M7,Data!P7,Data!S7)),100*(Data!G7-MIN(Data!D7,Data!G7,Data!J7,Data!M7,Data!P7,Data!S7))/(MAX(Data!D7,Data!G7,Data!J7,Data!M7,Data!P7,Data!S7)-MIN(Data!D7,Data!G7,Data!J7,Data!M7,Data!P7,Data!S7)))))</f>
        <v/>
      </c>
      <c r="E6" s="13">
        <f>IF(COUNT(Data!D7,Data!G7,Data!J7,Data!M7,Data!P7,Data!S7)&lt;6,"",IF(MAX(Data!D7,Data!G7,Data!J7,Data!M7,Data!P7,Data!S7)=MIN(Data!D7,Data!G7,Data!J7,Data!M7,Data!P7,Data!S7),"",IF(Data!$C7="Lower is better",100*(MAX(Data!D7,Data!G7,Data!J7,Data!M7,Data!P7,Data!S7)-Data!J7)/(MAX(Data!D7,Data!G7,Data!J7,Data!M7,Data!P7,Data!S7)-MIN(Data!D7,Data!G7,Data!J7,Data!M7,Data!P7,Data!S7)),100*(Data!J7-MIN(Data!D7,Data!G7,Data!J7,Data!M7,Data!P7,Data!S7))/(MAX(Data!D7,Data!G7,Data!J7,Data!M7,Data!P7,Data!S7)-MIN(Data!D7,Data!G7,Data!J7,Data!M7,Data!P7,Data!S7)))))</f>
        <v/>
      </c>
      <c r="F6" s="13">
        <f>IF(COUNT(Data!D7,Data!G7,Data!J7,Data!M7,Data!P7,Data!S7)&lt;6,"",IF(MAX(Data!D7,Data!G7,Data!J7,Data!M7,Data!P7,Data!S7)=MIN(Data!D7,Data!G7,Data!J7,Data!M7,Data!P7,Data!S7),"",IF(Data!$C7="Lower is better",100*(MAX(Data!D7,Data!G7,Data!J7,Data!M7,Data!P7,Data!S7)-Data!M7)/(MAX(Data!D7,Data!G7,Data!J7,Data!M7,Data!P7,Data!S7)-MIN(Data!D7,Data!G7,Data!J7,Data!M7,Data!P7,Data!S7)),100*(Data!M7-MIN(Data!D7,Data!G7,Data!J7,Data!M7,Data!P7,Data!S7))/(MAX(Data!D7,Data!G7,Data!J7,Data!M7,Data!P7,Data!S7)-MIN(Data!D7,Data!G7,Data!J7,Data!M7,Data!P7,Data!S7)))))</f>
        <v/>
      </c>
      <c r="G6" s="13">
        <f>IF(COUNT(Data!D7,Data!G7,Data!J7,Data!M7,Data!P7,Data!S7)&lt;6,"",IF(MAX(Data!D7,Data!G7,Data!J7,Data!M7,Data!P7,Data!S7)=MIN(Data!D7,Data!G7,Data!J7,Data!M7,Data!P7,Data!S7),"",IF(Data!$C7="Lower is better",100*(MAX(Data!D7,Data!G7,Data!J7,Data!M7,Data!P7,Data!S7)-Data!P7)/(MAX(Data!D7,Data!G7,Data!J7,Data!M7,Data!P7,Data!S7)-MIN(Data!D7,Data!G7,Data!J7,Data!M7,Data!P7,Data!S7)),100*(Data!P7-MIN(Data!D7,Data!G7,Data!J7,Data!M7,Data!P7,Data!S7))/(MAX(Data!D7,Data!G7,Data!J7,Data!M7,Data!P7,Data!S7)-MIN(Data!D7,Data!G7,Data!J7,Data!M7,Data!P7,Data!S7)))))</f>
        <v/>
      </c>
      <c r="H6" s="13">
        <f>IF(COUNT(Data!D7,Data!G7,Data!J7,Data!M7,Data!P7,Data!S7)&lt;6,"",IF(MAX(Data!D7,Data!G7,Data!J7,Data!M7,Data!P7,Data!S7)=MIN(Data!D7,Data!G7,Data!J7,Data!M7,Data!P7,Data!S7),"",IF(Data!$C7="Lower is better",100*(MAX(Data!D7,Data!G7,Data!J7,Data!M7,Data!P7,Data!S7)-Data!S7)/(MAX(Data!D7,Data!G7,Data!J7,Data!M7,Data!P7,Data!S7)-MIN(Data!D7,Data!G7,Data!J7,Data!M7,Data!P7,Data!S7)),100*(Data!S7-MIN(Data!D7,Data!G7,Data!J7,Data!M7,Data!P7,Data!S7))/(MAX(Data!D7,Data!G7,Data!J7,Data!M7,Data!P7,Data!S7)-MIN(Data!D7,Data!G7,Data!J7,Data!M7,Data!P7,Data!S7)))))</f>
        <v/>
      </c>
    </row>
    <row r="7">
      <c r="A7" s="8">
        <f>Indicators!A7</f>
        <v/>
      </c>
      <c r="B7" s="12">
        <f>Indicators!C7</f>
        <v/>
      </c>
      <c r="C7" s="13">
        <f>IF(COUNT(Data!D8,Data!G8,Data!J8,Data!M8,Data!P8,Data!S8)&lt;6,"",IF(MAX(Data!D8,Data!G8,Data!J8,Data!M8,Data!P8,Data!S8)=MIN(Data!D8,Data!G8,Data!J8,Data!M8,Data!P8,Data!S8),"",IF(Data!$C8="Lower is better",100*(MAX(Data!D8,Data!G8,Data!J8,Data!M8,Data!P8,Data!S8)-Data!D8)/(MAX(Data!D8,Data!G8,Data!J8,Data!M8,Data!P8,Data!S8)-MIN(Data!D8,Data!G8,Data!J8,Data!M8,Data!P8,Data!S8)),100*(Data!D8-MIN(Data!D8,Data!G8,Data!J8,Data!M8,Data!P8,Data!S8))/(MAX(Data!D8,Data!G8,Data!J8,Data!M8,Data!P8,Data!S8)-MIN(Data!D8,Data!G8,Data!J8,Data!M8,Data!P8,Data!S8)))))</f>
        <v/>
      </c>
      <c r="D7" s="13">
        <f>IF(COUNT(Data!D8,Data!G8,Data!J8,Data!M8,Data!P8,Data!S8)&lt;6,"",IF(MAX(Data!D8,Data!G8,Data!J8,Data!M8,Data!P8,Data!S8)=MIN(Data!D8,Data!G8,Data!J8,Data!M8,Data!P8,Data!S8),"",IF(Data!$C8="Lower is better",100*(MAX(Data!D8,Data!G8,Data!J8,Data!M8,Data!P8,Data!S8)-Data!G8)/(MAX(Data!D8,Data!G8,Data!J8,Data!M8,Data!P8,Data!S8)-MIN(Data!D8,Data!G8,Data!J8,Data!M8,Data!P8,Data!S8)),100*(Data!G8-MIN(Data!D8,Data!G8,Data!J8,Data!M8,Data!P8,Data!S8))/(MAX(Data!D8,Data!G8,Data!J8,Data!M8,Data!P8,Data!S8)-MIN(Data!D8,Data!G8,Data!J8,Data!M8,Data!P8,Data!S8)))))</f>
        <v/>
      </c>
      <c r="E7" s="13">
        <f>IF(COUNT(Data!D8,Data!G8,Data!J8,Data!M8,Data!P8,Data!S8)&lt;6,"",IF(MAX(Data!D8,Data!G8,Data!J8,Data!M8,Data!P8,Data!S8)=MIN(Data!D8,Data!G8,Data!J8,Data!M8,Data!P8,Data!S8),"",IF(Data!$C8="Lower is better",100*(MAX(Data!D8,Data!G8,Data!J8,Data!M8,Data!P8,Data!S8)-Data!J8)/(MAX(Data!D8,Data!G8,Data!J8,Data!M8,Data!P8,Data!S8)-MIN(Data!D8,Data!G8,Data!J8,Data!M8,Data!P8,Data!S8)),100*(Data!J8-MIN(Data!D8,Data!G8,Data!J8,Data!M8,Data!P8,Data!S8))/(MAX(Data!D8,Data!G8,Data!J8,Data!M8,Data!P8,Data!S8)-MIN(Data!D8,Data!G8,Data!J8,Data!M8,Data!P8,Data!S8)))))</f>
        <v/>
      </c>
      <c r="F7" s="13">
        <f>IF(COUNT(Data!D8,Data!G8,Data!J8,Data!M8,Data!P8,Data!S8)&lt;6,"",IF(MAX(Data!D8,Data!G8,Data!J8,Data!M8,Data!P8,Data!S8)=MIN(Data!D8,Data!G8,Data!J8,Data!M8,Data!P8,Data!S8),"",IF(Data!$C8="Lower is better",100*(MAX(Data!D8,Data!G8,Data!J8,Data!M8,Data!P8,Data!S8)-Data!M8)/(MAX(Data!D8,Data!G8,Data!J8,Data!M8,Data!P8,Data!S8)-MIN(Data!D8,Data!G8,Data!J8,Data!M8,Data!P8,Data!S8)),100*(Data!M8-MIN(Data!D8,Data!G8,Data!J8,Data!M8,Data!P8,Data!S8))/(MAX(Data!D8,Data!G8,Data!J8,Data!M8,Data!P8,Data!S8)-MIN(Data!D8,Data!G8,Data!J8,Data!M8,Data!P8,Data!S8)))))</f>
        <v/>
      </c>
      <c r="G7" s="13">
        <f>IF(COUNT(Data!D8,Data!G8,Data!J8,Data!M8,Data!P8,Data!S8)&lt;6,"",IF(MAX(Data!D8,Data!G8,Data!J8,Data!M8,Data!P8,Data!S8)=MIN(Data!D8,Data!G8,Data!J8,Data!M8,Data!P8,Data!S8),"",IF(Data!$C8="Lower is better",100*(MAX(Data!D8,Data!G8,Data!J8,Data!M8,Data!P8,Data!S8)-Data!P8)/(MAX(Data!D8,Data!G8,Data!J8,Data!M8,Data!P8,Data!S8)-MIN(Data!D8,Data!G8,Data!J8,Data!M8,Data!P8,Data!S8)),100*(Data!P8-MIN(Data!D8,Data!G8,Data!J8,Data!M8,Data!P8,Data!S8))/(MAX(Data!D8,Data!G8,Data!J8,Data!M8,Data!P8,Data!S8)-MIN(Data!D8,Data!G8,Data!J8,Data!M8,Data!P8,Data!S8)))))</f>
        <v/>
      </c>
      <c r="H7" s="13">
        <f>IF(COUNT(Data!D8,Data!G8,Data!J8,Data!M8,Data!P8,Data!S8)&lt;6,"",IF(MAX(Data!D8,Data!G8,Data!J8,Data!M8,Data!P8,Data!S8)=MIN(Data!D8,Data!G8,Data!J8,Data!M8,Data!P8,Data!S8),"",IF(Data!$C8="Lower is better",100*(MAX(Data!D8,Data!G8,Data!J8,Data!M8,Data!P8,Data!S8)-Data!S8)/(MAX(Data!D8,Data!G8,Data!J8,Data!M8,Data!P8,Data!S8)-MIN(Data!D8,Data!G8,Data!J8,Data!M8,Data!P8,Data!S8)),100*(Data!S8-MIN(Data!D8,Data!G8,Data!J8,Data!M8,Data!P8,Data!S8))/(MAX(Data!D8,Data!G8,Data!J8,Data!M8,Data!P8,Data!S8)-MIN(Data!D8,Data!G8,Data!J8,Data!M8,Data!P8,Data!S8)))))</f>
        <v/>
      </c>
    </row>
    <row r="8">
      <c r="A8" s="8">
        <f>Indicators!A8</f>
        <v/>
      </c>
      <c r="B8" s="12">
        <f>Indicators!C8</f>
        <v/>
      </c>
      <c r="C8" s="13">
        <f>IF(COUNT(Data!D9,Data!G9,Data!J9,Data!M9,Data!P9,Data!S9)&lt;6,"",IF(MAX(Data!D9,Data!G9,Data!J9,Data!M9,Data!P9,Data!S9)=MIN(Data!D9,Data!G9,Data!J9,Data!M9,Data!P9,Data!S9),"",IF(Data!$C9="Lower is better",100*(MAX(Data!D9,Data!G9,Data!J9,Data!M9,Data!P9,Data!S9)-Data!D9)/(MAX(Data!D9,Data!G9,Data!J9,Data!M9,Data!P9,Data!S9)-MIN(Data!D9,Data!G9,Data!J9,Data!M9,Data!P9,Data!S9)),100*(Data!D9-MIN(Data!D9,Data!G9,Data!J9,Data!M9,Data!P9,Data!S9))/(MAX(Data!D9,Data!G9,Data!J9,Data!M9,Data!P9,Data!S9)-MIN(Data!D9,Data!G9,Data!J9,Data!M9,Data!P9,Data!S9)))))</f>
        <v/>
      </c>
      <c r="D8" s="13">
        <f>IF(COUNT(Data!D9,Data!G9,Data!J9,Data!M9,Data!P9,Data!S9)&lt;6,"",IF(MAX(Data!D9,Data!G9,Data!J9,Data!M9,Data!P9,Data!S9)=MIN(Data!D9,Data!G9,Data!J9,Data!M9,Data!P9,Data!S9),"",IF(Data!$C9="Lower is better",100*(MAX(Data!D9,Data!G9,Data!J9,Data!M9,Data!P9,Data!S9)-Data!G9)/(MAX(Data!D9,Data!G9,Data!J9,Data!M9,Data!P9,Data!S9)-MIN(Data!D9,Data!G9,Data!J9,Data!M9,Data!P9,Data!S9)),100*(Data!G9-MIN(Data!D9,Data!G9,Data!J9,Data!M9,Data!P9,Data!S9))/(MAX(Data!D9,Data!G9,Data!J9,Data!M9,Data!P9,Data!S9)-MIN(Data!D9,Data!G9,Data!J9,Data!M9,Data!P9,Data!S9)))))</f>
        <v/>
      </c>
      <c r="E8" s="13">
        <f>IF(COUNT(Data!D9,Data!G9,Data!J9,Data!M9,Data!P9,Data!S9)&lt;6,"",IF(MAX(Data!D9,Data!G9,Data!J9,Data!M9,Data!P9,Data!S9)=MIN(Data!D9,Data!G9,Data!J9,Data!M9,Data!P9,Data!S9),"",IF(Data!$C9="Lower is better",100*(MAX(Data!D9,Data!G9,Data!J9,Data!M9,Data!P9,Data!S9)-Data!J9)/(MAX(Data!D9,Data!G9,Data!J9,Data!M9,Data!P9,Data!S9)-MIN(Data!D9,Data!G9,Data!J9,Data!M9,Data!P9,Data!S9)),100*(Data!J9-MIN(Data!D9,Data!G9,Data!J9,Data!M9,Data!P9,Data!S9))/(MAX(Data!D9,Data!G9,Data!J9,Data!M9,Data!P9,Data!S9)-MIN(Data!D9,Data!G9,Data!J9,Data!M9,Data!P9,Data!S9)))))</f>
        <v/>
      </c>
      <c r="F8" s="13">
        <f>IF(COUNT(Data!D9,Data!G9,Data!J9,Data!M9,Data!P9,Data!S9)&lt;6,"",IF(MAX(Data!D9,Data!G9,Data!J9,Data!M9,Data!P9,Data!S9)=MIN(Data!D9,Data!G9,Data!J9,Data!M9,Data!P9,Data!S9),"",IF(Data!$C9="Lower is better",100*(MAX(Data!D9,Data!G9,Data!J9,Data!M9,Data!P9,Data!S9)-Data!M9)/(MAX(Data!D9,Data!G9,Data!J9,Data!M9,Data!P9,Data!S9)-MIN(Data!D9,Data!G9,Data!J9,Data!M9,Data!P9,Data!S9)),100*(Data!M9-MIN(Data!D9,Data!G9,Data!J9,Data!M9,Data!P9,Data!S9))/(MAX(Data!D9,Data!G9,Data!J9,Data!M9,Data!P9,Data!S9)-MIN(Data!D9,Data!G9,Data!J9,Data!M9,Data!P9,Data!S9)))))</f>
        <v/>
      </c>
      <c r="G8" s="13">
        <f>IF(COUNT(Data!D9,Data!G9,Data!J9,Data!M9,Data!P9,Data!S9)&lt;6,"",IF(MAX(Data!D9,Data!G9,Data!J9,Data!M9,Data!P9,Data!S9)=MIN(Data!D9,Data!G9,Data!J9,Data!M9,Data!P9,Data!S9),"",IF(Data!$C9="Lower is better",100*(MAX(Data!D9,Data!G9,Data!J9,Data!M9,Data!P9,Data!S9)-Data!P9)/(MAX(Data!D9,Data!G9,Data!J9,Data!M9,Data!P9,Data!S9)-MIN(Data!D9,Data!G9,Data!J9,Data!M9,Data!P9,Data!S9)),100*(Data!P9-MIN(Data!D9,Data!G9,Data!J9,Data!M9,Data!P9,Data!S9))/(MAX(Data!D9,Data!G9,Data!J9,Data!M9,Data!P9,Data!S9)-MIN(Data!D9,Data!G9,Data!J9,Data!M9,Data!P9,Data!S9)))))</f>
        <v/>
      </c>
      <c r="H8" s="13">
        <f>IF(COUNT(Data!D9,Data!G9,Data!J9,Data!M9,Data!P9,Data!S9)&lt;6,"",IF(MAX(Data!D9,Data!G9,Data!J9,Data!M9,Data!P9,Data!S9)=MIN(Data!D9,Data!G9,Data!J9,Data!M9,Data!P9,Data!S9),"",IF(Data!$C9="Lower is better",100*(MAX(Data!D9,Data!G9,Data!J9,Data!M9,Data!P9,Data!S9)-Data!S9)/(MAX(Data!D9,Data!G9,Data!J9,Data!M9,Data!P9,Data!S9)-MIN(Data!D9,Data!G9,Data!J9,Data!M9,Data!P9,Data!S9)),100*(Data!S9-MIN(Data!D9,Data!G9,Data!J9,Data!M9,Data!P9,Data!S9))/(MAX(Data!D9,Data!G9,Data!J9,Data!M9,Data!P9,Data!S9)-MIN(Data!D9,Data!G9,Data!J9,Data!M9,Data!P9,Data!S9)))))</f>
        <v/>
      </c>
    </row>
    <row r="9">
      <c r="A9" s="8">
        <f>Indicators!A9</f>
        <v/>
      </c>
      <c r="B9" s="12">
        <f>Indicators!C9</f>
        <v/>
      </c>
      <c r="C9" s="13">
        <f>IF(COUNT(Data!D10,Data!G10,Data!J10,Data!M10,Data!P10,Data!S10)&lt;6,"",IF(MAX(Data!D10,Data!G10,Data!J10,Data!M10,Data!P10,Data!S10)=MIN(Data!D10,Data!G10,Data!J10,Data!M10,Data!P10,Data!S10),"",IF(Data!$C10="Lower is better",100*(MAX(Data!D10,Data!G10,Data!J10,Data!M10,Data!P10,Data!S10)-Data!D10)/(MAX(Data!D10,Data!G10,Data!J10,Data!M10,Data!P10,Data!S10)-MIN(Data!D10,Data!G10,Data!J10,Data!M10,Data!P10,Data!S10)),100*(Data!D10-MIN(Data!D10,Data!G10,Data!J10,Data!M10,Data!P10,Data!S10))/(MAX(Data!D10,Data!G10,Data!J10,Data!M10,Data!P10,Data!S10)-MIN(Data!D10,Data!G10,Data!J10,Data!M10,Data!P10,Data!S10)))))</f>
        <v/>
      </c>
      <c r="D9" s="13">
        <f>IF(COUNT(Data!D10,Data!G10,Data!J10,Data!M10,Data!P10,Data!S10)&lt;6,"",IF(MAX(Data!D10,Data!G10,Data!J10,Data!M10,Data!P10,Data!S10)=MIN(Data!D10,Data!G10,Data!J10,Data!M10,Data!P10,Data!S10),"",IF(Data!$C10="Lower is better",100*(MAX(Data!D10,Data!G10,Data!J10,Data!M10,Data!P10,Data!S10)-Data!G10)/(MAX(Data!D10,Data!G10,Data!J10,Data!M10,Data!P10,Data!S10)-MIN(Data!D10,Data!G10,Data!J10,Data!M10,Data!P10,Data!S10)),100*(Data!G10-MIN(Data!D10,Data!G10,Data!J10,Data!M10,Data!P10,Data!S10))/(MAX(Data!D10,Data!G10,Data!J10,Data!M10,Data!P10,Data!S10)-MIN(Data!D10,Data!G10,Data!J10,Data!M10,Data!P10,Data!S10)))))</f>
        <v/>
      </c>
      <c r="E9" s="13">
        <f>IF(COUNT(Data!D10,Data!G10,Data!J10,Data!M10,Data!P10,Data!S10)&lt;6,"",IF(MAX(Data!D10,Data!G10,Data!J10,Data!M10,Data!P10,Data!S10)=MIN(Data!D10,Data!G10,Data!J10,Data!M10,Data!P10,Data!S10),"",IF(Data!$C10="Lower is better",100*(MAX(Data!D10,Data!G10,Data!J10,Data!M10,Data!P10,Data!S10)-Data!J10)/(MAX(Data!D10,Data!G10,Data!J10,Data!M10,Data!P10,Data!S10)-MIN(Data!D10,Data!G10,Data!J10,Data!M10,Data!P10,Data!S10)),100*(Data!J10-MIN(Data!D10,Data!G10,Data!J10,Data!M10,Data!P10,Data!S10))/(MAX(Data!D10,Data!G10,Data!J10,Data!M10,Data!P10,Data!S10)-MIN(Data!D10,Data!G10,Data!J10,Data!M10,Data!P10,Data!S10)))))</f>
        <v/>
      </c>
      <c r="F9" s="13">
        <f>IF(COUNT(Data!D10,Data!G10,Data!J10,Data!M10,Data!P10,Data!S10)&lt;6,"",IF(MAX(Data!D10,Data!G10,Data!J10,Data!M10,Data!P10,Data!S10)=MIN(Data!D10,Data!G10,Data!J10,Data!M10,Data!P10,Data!S10),"",IF(Data!$C10="Lower is better",100*(MAX(Data!D10,Data!G10,Data!J10,Data!M10,Data!P10,Data!S10)-Data!M10)/(MAX(Data!D10,Data!G10,Data!J10,Data!M10,Data!P10,Data!S10)-MIN(Data!D10,Data!G10,Data!J10,Data!M10,Data!P10,Data!S10)),100*(Data!M10-MIN(Data!D10,Data!G10,Data!J10,Data!M10,Data!P10,Data!S10))/(MAX(Data!D10,Data!G10,Data!J10,Data!M10,Data!P10,Data!S10)-MIN(Data!D10,Data!G10,Data!J10,Data!M10,Data!P10,Data!S10)))))</f>
        <v/>
      </c>
      <c r="G9" s="13">
        <f>IF(COUNT(Data!D10,Data!G10,Data!J10,Data!M10,Data!P10,Data!S10)&lt;6,"",IF(MAX(Data!D10,Data!G10,Data!J10,Data!M10,Data!P10,Data!S10)=MIN(Data!D10,Data!G10,Data!J10,Data!M10,Data!P10,Data!S10),"",IF(Data!$C10="Lower is better",100*(MAX(Data!D10,Data!G10,Data!J10,Data!M10,Data!P10,Data!S10)-Data!P10)/(MAX(Data!D10,Data!G10,Data!J10,Data!M10,Data!P10,Data!S10)-MIN(Data!D10,Data!G10,Data!J10,Data!M10,Data!P10,Data!S10)),100*(Data!P10-MIN(Data!D10,Data!G10,Data!J10,Data!M10,Data!P10,Data!S10))/(MAX(Data!D10,Data!G10,Data!J10,Data!M10,Data!P10,Data!S10)-MIN(Data!D10,Data!G10,Data!J10,Data!M10,Data!P10,Data!S10)))))</f>
        <v/>
      </c>
      <c r="H9" s="13">
        <f>IF(COUNT(Data!D10,Data!G10,Data!J10,Data!M10,Data!P10,Data!S10)&lt;6,"",IF(MAX(Data!D10,Data!G10,Data!J10,Data!M10,Data!P10,Data!S10)=MIN(Data!D10,Data!G10,Data!J10,Data!M10,Data!P10,Data!S10),"",IF(Data!$C10="Lower is better",100*(MAX(Data!D10,Data!G10,Data!J10,Data!M10,Data!P10,Data!S10)-Data!S10)/(MAX(Data!D10,Data!G10,Data!J10,Data!M10,Data!P10,Data!S10)-MIN(Data!D10,Data!G10,Data!J10,Data!M10,Data!P10,Data!S10)),100*(Data!S10-MIN(Data!D10,Data!G10,Data!J10,Data!M10,Data!P10,Data!S10))/(MAX(Data!D10,Data!G10,Data!J10,Data!M10,Data!P10,Data!S10)-MIN(Data!D10,Data!G10,Data!J10,Data!M10,Data!P10,Data!S10)))))</f>
        <v/>
      </c>
    </row>
    <row r="10">
      <c r="A10" s="8">
        <f>Indicators!A10</f>
        <v/>
      </c>
      <c r="B10" s="12">
        <f>Indicators!C10</f>
        <v/>
      </c>
      <c r="C10" s="13">
        <f>IF(COUNT(Data!D11,Data!G11,Data!J11,Data!M11,Data!P11,Data!S11)&lt;6,"",IF(MAX(Data!D11,Data!G11,Data!J11,Data!M11,Data!P11,Data!S11)=MIN(Data!D11,Data!G11,Data!J11,Data!M11,Data!P11,Data!S11),"",IF(Data!$C11="Lower is better",100*(MAX(Data!D11,Data!G11,Data!J11,Data!M11,Data!P11,Data!S11)-Data!D11)/(MAX(Data!D11,Data!G11,Data!J11,Data!M11,Data!P11,Data!S11)-MIN(Data!D11,Data!G11,Data!J11,Data!M11,Data!P11,Data!S11)),100*(Data!D11-MIN(Data!D11,Data!G11,Data!J11,Data!M11,Data!P11,Data!S11))/(MAX(Data!D11,Data!G11,Data!J11,Data!M11,Data!P11,Data!S11)-MIN(Data!D11,Data!G11,Data!J11,Data!M11,Data!P11,Data!S11)))))</f>
        <v/>
      </c>
      <c r="D10" s="13">
        <f>IF(COUNT(Data!D11,Data!G11,Data!J11,Data!M11,Data!P11,Data!S11)&lt;6,"",IF(MAX(Data!D11,Data!G11,Data!J11,Data!M11,Data!P11,Data!S11)=MIN(Data!D11,Data!G11,Data!J11,Data!M11,Data!P11,Data!S11),"",IF(Data!$C11="Lower is better",100*(MAX(Data!D11,Data!G11,Data!J11,Data!M11,Data!P11,Data!S11)-Data!G11)/(MAX(Data!D11,Data!G11,Data!J11,Data!M11,Data!P11,Data!S11)-MIN(Data!D11,Data!G11,Data!J11,Data!M11,Data!P11,Data!S11)),100*(Data!G11-MIN(Data!D11,Data!G11,Data!J11,Data!M11,Data!P11,Data!S11))/(MAX(Data!D11,Data!G11,Data!J11,Data!M11,Data!P11,Data!S11)-MIN(Data!D11,Data!G11,Data!J11,Data!M11,Data!P11,Data!S11)))))</f>
        <v/>
      </c>
      <c r="E10" s="13">
        <f>IF(COUNT(Data!D11,Data!G11,Data!J11,Data!M11,Data!P11,Data!S11)&lt;6,"",IF(MAX(Data!D11,Data!G11,Data!J11,Data!M11,Data!P11,Data!S11)=MIN(Data!D11,Data!G11,Data!J11,Data!M11,Data!P11,Data!S11),"",IF(Data!$C11="Lower is better",100*(MAX(Data!D11,Data!G11,Data!J11,Data!M11,Data!P11,Data!S11)-Data!J11)/(MAX(Data!D11,Data!G11,Data!J11,Data!M11,Data!P11,Data!S11)-MIN(Data!D11,Data!G11,Data!J11,Data!M11,Data!P11,Data!S11)),100*(Data!J11-MIN(Data!D11,Data!G11,Data!J11,Data!M11,Data!P11,Data!S11))/(MAX(Data!D11,Data!G11,Data!J11,Data!M11,Data!P11,Data!S11)-MIN(Data!D11,Data!G11,Data!J11,Data!M11,Data!P11,Data!S11)))))</f>
        <v/>
      </c>
      <c r="F10" s="13">
        <f>IF(COUNT(Data!D11,Data!G11,Data!J11,Data!M11,Data!P11,Data!S11)&lt;6,"",IF(MAX(Data!D11,Data!G11,Data!J11,Data!M11,Data!P11,Data!S11)=MIN(Data!D11,Data!G11,Data!J11,Data!M11,Data!P11,Data!S11),"",IF(Data!$C11="Lower is better",100*(MAX(Data!D11,Data!G11,Data!J11,Data!M11,Data!P11,Data!S11)-Data!M11)/(MAX(Data!D11,Data!G11,Data!J11,Data!M11,Data!P11,Data!S11)-MIN(Data!D11,Data!G11,Data!J11,Data!M11,Data!P11,Data!S11)),100*(Data!M11-MIN(Data!D11,Data!G11,Data!J11,Data!M11,Data!P11,Data!S11))/(MAX(Data!D11,Data!G11,Data!J11,Data!M11,Data!P11,Data!S11)-MIN(Data!D11,Data!G11,Data!J11,Data!M11,Data!P11,Data!S11)))))</f>
        <v/>
      </c>
      <c r="G10" s="13">
        <f>IF(COUNT(Data!D11,Data!G11,Data!J11,Data!M11,Data!P11,Data!S11)&lt;6,"",IF(MAX(Data!D11,Data!G11,Data!J11,Data!M11,Data!P11,Data!S11)=MIN(Data!D11,Data!G11,Data!J11,Data!M11,Data!P11,Data!S11),"",IF(Data!$C11="Lower is better",100*(MAX(Data!D11,Data!G11,Data!J11,Data!M11,Data!P11,Data!S11)-Data!P11)/(MAX(Data!D11,Data!G11,Data!J11,Data!M11,Data!P11,Data!S11)-MIN(Data!D11,Data!G11,Data!J11,Data!M11,Data!P11,Data!S11)),100*(Data!P11-MIN(Data!D11,Data!G11,Data!J11,Data!M11,Data!P11,Data!S11))/(MAX(Data!D11,Data!G11,Data!J11,Data!M11,Data!P11,Data!S11)-MIN(Data!D11,Data!G11,Data!J11,Data!M11,Data!P11,Data!S11)))))</f>
        <v/>
      </c>
      <c r="H10" s="13">
        <f>IF(COUNT(Data!D11,Data!G11,Data!J11,Data!M11,Data!P11,Data!S11)&lt;6,"",IF(MAX(Data!D11,Data!G11,Data!J11,Data!M11,Data!P11,Data!S11)=MIN(Data!D11,Data!G11,Data!J11,Data!M11,Data!P11,Data!S11),"",IF(Data!$C11="Lower is better",100*(MAX(Data!D11,Data!G11,Data!J11,Data!M11,Data!P11,Data!S11)-Data!S11)/(MAX(Data!D11,Data!G11,Data!J11,Data!M11,Data!P11,Data!S11)-MIN(Data!D11,Data!G11,Data!J11,Data!M11,Data!P11,Data!S11)),100*(Data!S11-MIN(Data!D11,Data!G11,Data!J11,Data!M11,Data!P11,Data!S11))/(MAX(Data!D11,Data!G11,Data!J11,Data!M11,Data!P11,Data!S11)-MIN(Data!D11,Data!G11,Data!J11,Data!M11,Data!P11,Data!S11)))))</f>
        <v/>
      </c>
    </row>
    <row r="11">
      <c r="A11" s="8">
        <f>Indicators!A11</f>
        <v/>
      </c>
      <c r="B11" s="12">
        <f>Indicators!C11</f>
        <v/>
      </c>
      <c r="C11" s="13">
        <f>IF(COUNT(Data!D12,Data!G12,Data!J12,Data!M12,Data!P12,Data!S12)&lt;6,"",IF(MAX(Data!D12,Data!G12,Data!J12,Data!M12,Data!P12,Data!S12)=MIN(Data!D12,Data!G12,Data!J12,Data!M12,Data!P12,Data!S12),"",IF(Data!$C12="Lower is better",100*(MAX(Data!D12,Data!G12,Data!J12,Data!M12,Data!P12,Data!S12)-Data!D12)/(MAX(Data!D12,Data!G12,Data!J12,Data!M12,Data!P12,Data!S12)-MIN(Data!D12,Data!G12,Data!J12,Data!M12,Data!P12,Data!S12)),100*(Data!D12-MIN(Data!D12,Data!G12,Data!J12,Data!M12,Data!P12,Data!S12))/(MAX(Data!D12,Data!G12,Data!J12,Data!M12,Data!P12,Data!S12)-MIN(Data!D12,Data!G12,Data!J12,Data!M12,Data!P12,Data!S12)))))</f>
        <v/>
      </c>
      <c r="D11" s="13">
        <f>IF(COUNT(Data!D12,Data!G12,Data!J12,Data!M12,Data!P12,Data!S12)&lt;6,"",IF(MAX(Data!D12,Data!G12,Data!J12,Data!M12,Data!P12,Data!S12)=MIN(Data!D12,Data!G12,Data!J12,Data!M12,Data!P12,Data!S12),"",IF(Data!$C12="Lower is better",100*(MAX(Data!D12,Data!G12,Data!J12,Data!M12,Data!P12,Data!S12)-Data!G12)/(MAX(Data!D12,Data!G12,Data!J12,Data!M12,Data!P12,Data!S12)-MIN(Data!D12,Data!G12,Data!J12,Data!M12,Data!P12,Data!S12)),100*(Data!G12-MIN(Data!D12,Data!G12,Data!J12,Data!M12,Data!P12,Data!S12))/(MAX(Data!D12,Data!G12,Data!J12,Data!M12,Data!P12,Data!S12)-MIN(Data!D12,Data!G12,Data!J12,Data!M12,Data!P12,Data!S12)))))</f>
        <v/>
      </c>
      <c r="E11" s="13">
        <f>IF(COUNT(Data!D12,Data!G12,Data!J12,Data!M12,Data!P12,Data!S12)&lt;6,"",IF(MAX(Data!D12,Data!G12,Data!J12,Data!M12,Data!P12,Data!S12)=MIN(Data!D12,Data!G12,Data!J12,Data!M12,Data!P12,Data!S12),"",IF(Data!$C12="Lower is better",100*(MAX(Data!D12,Data!G12,Data!J12,Data!M12,Data!P12,Data!S12)-Data!J12)/(MAX(Data!D12,Data!G12,Data!J12,Data!M12,Data!P12,Data!S12)-MIN(Data!D12,Data!G12,Data!J12,Data!M12,Data!P12,Data!S12)),100*(Data!J12-MIN(Data!D12,Data!G12,Data!J12,Data!M12,Data!P12,Data!S12))/(MAX(Data!D12,Data!G12,Data!J12,Data!M12,Data!P12,Data!S12)-MIN(Data!D12,Data!G12,Data!J12,Data!M12,Data!P12,Data!S12)))))</f>
        <v/>
      </c>
      <c r="F11" s="13">
        <f>IF(COUNT(Data!D12,Data!G12,Data!J12,Data!M12,Data!P12,Data!S12)&lt;6,"",IF(MAX(Data!D12,Data!G12,Data!J12,Data!M12,Data!P12,Data!S12)=MIN(Data!D12,Data!G12,Data!J12,Data!M12,Data!P12,Data!S12),"",IF(Data!$C12="Lower is better",100*(MAX(Data!D12,Data!G12,Data!J12,Data!M12,Data!P12,Data!S12)-Data!M12)/(MAX(Data!D12,Data!G12,Data!J12,Data!M12,Data!P12,Data!S12)-MIN(Data!D12,Data!G12,Data!J12,Data!M12,Data!P12,Data!S12)),100*(Data!M12-MIN(Data!D12,Data!G12,Data!J12,Data!M12,Data!P12,Data!S12))/(MAX(Data!D12,Data!G12,Data!J12,Data!M12,Data!P12,Data!S12)-MIN(Data!D12,Data!G12,Data!J12,Data!M12,Data!P12,Data!S12)))))</f>
        <v/>
      </c>
      <c r="G11" s="13">
        <f>IF(COUNT(Data!D12,Data!G12,Data!J12,Data!M12,Data!P12,Data!S12)&lt;6,"",IF(MAX(Data!D12,Data!G12,Data!J12,Data!M12,Data!P12,Data!S12)=MIN(Data!D12,Data!G12,Data!J12,Data!M12,Data!P12,Data!S12),"",IF(Data!$C12="Lower is better",100*(MAX(Data!D12,Data!G12,Data!J12,Data!M12,Data!P12,Data!S12)-Data!P12)/(MAX(Data!D12,Data!G12,Data!J12,Data!M12,Data!P12,Data!S12)-MIN(Data!D12,Data!G12,Data!J12,Data!M12,Data!P12,Data!S12)),100*(Data!P12-MIN(Data!D12,Data!G12,Data!J12,Data!M12,Data!P12,Data!S12))/(MAX(Data!D12,Data!G12,Data!J12,Data!M12,Data!P12,Data!S12)-MIN(Data!D12,Data!G12,Data!J12,Data!M12,Data!P12,Data!S12)))))</f>
        <v/>
      </c>
      <c r="H11" s="13">
        <f>IF(COUNT(Data!D12,Data!G12,Data!J12,Data!M12,Data!P12,Data!S12)&lt;6,"",IF(MAX(Data!D12,Data!G12,Data!J12,Data!M12,Data!P12,Data!S12)=MIN(Data!D12,Data!G12,Data!J12,Data!M12,Data!P12,Data!S12),"",IF(Data!$C12="Lower is better",100*(MAX(Data!D12,Data!G12,Data!J12,Data!M12,Data!P12,Data!S12)-Data!S12)/(MAX(Data!D12,Data!G12,Data!J12,Data!M12,Data!P12,Data!S12)-MIN(Data!D12,Data!G12,Data!J12,Data!M12,Data!P12,Data!S12)),100*(Data!S12-MIN(Data!D12,Data!G12,Data!J12,Data!M12,Data!P12,Data!S12))/(MAX(Data!D12,Data!G12,Data!J12,Data!M12,Data!P12,Data!S12)-MIN(Data!D12,Data!G12,Data!J12,Data!M12,Data!P12,Data!S12)))))</f>
        <v/>
      </c>
    </row>
    <row r="12">
      <c r="A12" s="8">
        <f>Indicators!A12</f>
        <v/>
      </c>
      <c r="B12" s="12">
        <f>Indicators!C12</f>
        <v/>
      </c>
      <c r="C12" s="13">
        <f>IF(COUNT(Data!D13,Data!G13,Data!J13,Data!M13,Data!P13,Data!S13)&lt;6,"",IF(MAX(Data!D13,Data!G13,Data!J13,Data!M13,Data!P13,Data!S13)=MIN(Data!D13,Data!G13,Data!J13,Data!M13,Data!P13,Data!S13),"",IF(Data!$C13="Lower is better",100*(MAX(Data!D13,Data!G13,Data!J13,Data!M13,Data!P13,Data!S13)-Data!D13)/(MAX(Data!D13,Data!G13,Data!J13,Data!M13,Data!P13,Data!S13)-MIN(Data!D13,Data!G13,Data!J13,Data!M13,Data!P13,Data!S13)),100*(Data!D13-MIN(Data!D13,Data!G13,Data!J13,Data!M13,Data!P13,Data!S13))/(MAX(Data!D13,Data!G13,Data!J13,Data!M13,Data!P13,Data!S13)-MIN(Data!D13,Data!G13,Data!J13,Data!M13,Data!P13,Data!S13)))))</f>
        <v/>
      </c>
      <c r="D12" s="13">
        <f>IF(COUNT(Data!D13,Data!G13,Data!J13,Data!M13,Data!P13,Data!S13)&lt;6,"",IF(MAX(Data!D13,Data!G13,Data!J13,Data!M13,Data!P13,Data!S13)=MIN(Data!D13,Data!G13,Data!J13,Data!M13,Data!P13,Data!S13),"",IF(Data!$C13="Lower is better",100*(MAX(Data!D13,Data!G13,Data!J13,Data!M13,Data!P13,Data!S13)-Data!G13)/(MAX(Data!D13,Data!G13,Data!J13,Data!M13,Data!P13,Data!S13)-MIN(Data!D13,Data!G13,Data!J13,Data!M13,Data!P13,Data!S13)),100*(Data!G13-MIN(Data!D13,Data!G13,Data!J13,Data!M13,Data!P13,Data!S13))/(MAX(Data!D13,Data!G13,Data!J13,Data!M13,Data!P13,Data!S13)-MIN(Data!D13,Data!G13,Data!J13,Data!M13,Data!P13,Data!S13)))))</f>
        <v/>
      </c>
      <c r="E12" s="13">
        <f>IF(COUNT(Data!D13,Data!G13,Data!J13,Data!M13,Data!P13,Data!S13)&lt;6,"",IF(MAX(Data!D13,Data!G13,Data!J13,Data!M13,Data!P13,Data!S13)=MIN(Data!D13,Data!G13,Data!J13,Data!M13,Data!P13,Data!S13),"",IF(Data!$C13="Lower is better",100*(MAX(Data!D13,Data!G13,Data!J13,Data!M13,Data!P13,Data!S13)-Data!J13)/(MAX(Data!D13,Data!G13,Data!J13,Data!M13,Data!P13,Data!S13)-MIN(Data!D13,Data!G13,Data!J13,Data!M13,Data!P13,Data!S13)),100*(Data!J13-MIN(Data!D13,Data!G13,Data!J13,Data!M13,Data!P13,Data!S13))/(MAX(Data!D13,Data!G13,Data!J13,Data!M13,Data!P13,Data!S13)-MIN(Data!D13,Data!G13,Data!J13,Data!M13,Data!P13,Data!S13)))))</f>
        <v/>
      </c>
      <c r="F12" s="13">
        <f>IF(COUNT(Data!D13,Data!G13,Data!J13,Data!M13,Data!P13,Data!S13)&lt;6,"",IF(MAX(Data!D13,Data!G13,Data!J13,Data!M13,Data!P13,Data!S13)=MIN(Data!D13,Data!G13,Data!J13,Data!M13,Data!P13,Data!S13),"",IF(Data!$C13="Lower is better",100*(MAX(Data!D13,Data!G13,Data!J13,Data!M13,Data!P13,Data!S13)-Data!M13)/(MAX(Data!D13,Data!G13,Data!J13,Data!M13,Data!P13,Data!S13)-MIN(Data!D13,Data!G13,Data!J13,Data!M13,Data!P13,Data!S13)),100*(Data!M13-MIN(Data!D13,Data!G13,Data!J13,Data!M13,Data!P13,Data!S13))/(MAX(Data!D13,Data!G13,Data!J13,Data!M13,Data!P13,Data!S13)-MIN(Data!D13,Data!G13,Data!J13,Data!M13,Data!P13,Data!S13)))))</f>
        <v/>
      </c>
      <c r="G12" s="13">
        <f>IF(COUNT(Data!D13,Data!G13,Data!J13,Data!M13,Data!P13,Data!S13)&lt;6,"",IF(MAX(Data!D13,Data!G13,Data!J13,Data!M13,Data!P13,Data!S13)=MIN(Data!D13,Data!G13,Data!J13,Data!M13,Data!P13,Data!S13),"",IF(Data!$C13="Lower is better",100*(MAX(Data!D13,Data!G13,Data!J13,Data!M13,Data!P13,Data!S13)-Data!P13)/(MAX(Data!D13,Data!G13,Data!J13,Data!M13,Data!P13,Data!S13)-MIN(Data!D13,Data!G13,Data!J13,Data!M13,Data!P13,Data!S13)),100*(Data!P13-MIN(Data!D13,Data!G13,Data!J13,Data!M13,Data!P13,Data!S13))/(MAX(Data!D13,Data!G13,Data!J13,Data!M13,Data!P13,Data!S13)-MIN(Data!D13,Data!G13,Data!J13,Data!M13,Data!P13,Data!S13)))))</f>
        <v/>
      </c>
      <c r="H12" s="13">
        <f>IF(COUNT(Data!D13,Data!G13,Data!J13,Data!M13,Data!P13,Data!S13)&lt;6,"",IF(MAX(Data!D13,Data!G13,Data!J13,Data!M13,Data!P13,Data!S13)=MIN(Data!D13,Data!G13,Data!J13,Data!M13,Data!P13,Data!S13),"",IF(Data!$C13="Lower is better",100*(MAX(Data!D13,Data!G13,Data!J13,Data!M13,Data!P13,Data!S13)-Data!S13)/(MAX(Data!D13,Data!G13,Data!J13,Data!M13,Data!P13,Data!S13)-MIN(Data!D13,Data!G13,Data!J13,Data!M13,Data!P13,Data!S13)),100*(Data!S13-MIN(Data!D13,Data!G13,Data!J13,Data!M13,Data!P13,Data!S13))/(MAX(Data!D13,Data!G13,Data!J13,Data!M13,Data!P13,Data!S13)-MIN(Data!D13,Data!G13,Data!J13,Data!M13,Data!P13,Data!S13)))))</f>
        <v/>
      </c>
    </row>
    <row r="13">
      <c r="A13" s="8">
        <f>Indicators!A13</f>
        <v/>
      </c>
      <c r="B13" s="12">
        <f>Indicators!C13</f>
        <v/>
      </c>
      <c r="C13" s="13">
        <f>IF(COUNT(Data!D14,Data!G14,Data!J14,Data!M14,Data!P14,Data!S14)&lt;6,"",IF(MAX(Data!D14,Data!G14,Data!J14,Data!M14,Data!P14,Data!S14)=MIN(Data!D14,Data!G14,Data!J14,Data!M14,Data!P14,Data!S14),"",IF(Data!$C14="Lower is better",100*(MAX(Data!D14,Data!G14,Data!J14,Data!M14,Data!P14,Data!S14)-Data!D14)/(MAX(Data!D14,Data!G14,Data!J14,Data!M14,Data!P14,Data!S14)-MIN(Data!D14,Data!G14,Data!J14,Data!M14,Data!P14,Data!S14)),100*(Data!D14-MIN(Data!D14,Data!G14,Data!J14,Data!M14,Data!P14,Data!S14))/(MAX(Data!D14,Data!G14,Data!J14,Data!M14,Data!P14,Data!S14)-MIN(Data!D14,Data!G14,Data!J14,Data!M14,Data!P14,Data!S14)))))</f>
        <v/>
      </c>
      <c r="D13" s="13">
        <f>IF(COUNT(Data!D14,Data!G14,Data!J14,Data!M14,Data!P14,Data!S14)&lt;6,"",IF(MAX(Data!D14,Data!G14,Data!J14,Data!M14,Data!P14,Data!S14)=MIN(Data!D14,Data!G14,Data!J14,Data!M14,Data!P14,Data!S14),"",IF(Data!$C14="Lower is better",100*(MAX(Data!D14,Data!G14,Data!J14,Data!M14,Data!P14,Data!S14)-Data!G14)/(MAX(Data!D14,Data!G14,Data!J14,Data!M14,Data!P14,Data!S14)-MIN(Data!D14,Data!G14,Data!J14,Data!M14,Data!P14,Data!S14)),100*(Data!G14-MIN(Data!D14,Data!G14,Data!J14,Data!M14,Data!P14,Data!S14))/(MAX(Data!D14,Data!G14,Data!J14,Data!M14,Data!P14,Data!S14)-MIN(Data!D14,Data!G14,Data!J14,Data!M14,Data!P14,Data!S14)))))</f>
        <v/>
      </c>
      <c r="E13" s="13">
        <f>IF(COUNT(Data!D14,Data!G14,Data!J14,Data!M14,Data!P14,Data!S14)&lt;6,"",IF(MAX(Data!D14,Data!G14,Data!J14,Data!M14,Data!P14,Data!S14)=MIN(Data!D14,Data!G14,Data!J14,Data!M14,Data!P14,Data!S14),"",IF(Data!$C14="Lower is better",100*(MAX(Data!D14,Data!G14,Data!J14,Data!M14,Data!P14,Data!S14)-Data!J14)/(MAX(Data!D14,Data!G14,Data!J14,Data!M14,Data!P14,Data!S14)-MIN(Data!D14,Data!G14,Data!J14,Data!M14,Data!P14,Data!S14)),100*(Data!J14-MIN(Data!D14,Data!G14,Data!J14,Data!M14,Data!P14,Data!S14))/(MAX(Data!D14,Data!G14,Data!J14,Data!M14,Data!P14,Data!S14)-MIN(Data!D14,Data!G14,Data!J14,Data!M14,Data!P14,Data!S14)))))</f>
        <v/>
      </c>
      <c r="F13" s="13">
        <f>IF(COUNT(Data!D14,Data!G14,Data!J14,Data!M14,Data!P14,Data!S14)&lt;6,"",IF(MAX(Data!D14,Data!G14,Data!J14,Data!M14,Data!P14,Data!S14)=MIN(Data!D14,Data!G14,Data!J14,Data!M14,Data!P14,Data!S14),"",IF(Data!$C14="Lower is better",100*(MAX(Data!D14,Data!G14,Data!J14,Data!M14,Data!P14,Data!S14)-Data!M14)/(MAX(Data!D14,Data!G14,Data!J14,Data!M14,Data!P14,Data!S14)-MIN(Data!D14,Data!G14,Data!J14,Data!M14,Data!P14,Data!S14)),100*(Data!M14-MIN(Data!D14,Data!G14,Data!J14,Data!M14,Data!P14,Data!S14))/(MAX(Data!D14,Data!G14,Data!J14,Data!M14,Data!P14,Data!S14)-MIN(Data!D14,Data!G14,Data!J14,Data!M14,Data!P14,Data!S14)))))</f>
        <v/>
      </c>
      <c r="G13" s="13">
        <f>IF(COUNT(Data!D14,Data!G14,Data!J14,Data!M14,Data!P14,Data!S14)&lt;6,"",IF(MAX(Data!D14,Data!G14,Data!J14,Data!M14,Data!P14,Data!S14)=MIN(Data!D14,Data!G14,Data!J14,Data!M14,Data!P14,Data!S14),"",IF(Data!$C14="Lower is better",100*(MAX(Data!D14,Data!G14,Data!J14,Data!M14,Data!P14,Data!S14)-Data!P14)/(MAX(Data!D14,Data!G14,Data!J14,Data!M14,Data!P14,Data!S14)-MIN(Data!D14,Data!G14,Data!J14,Data!M14,Data!P14,Data!S14)),100*(Data!P14-MIN(Data!D14,Data!G14,Data!J14,Data!M14,Data!P14,Data!S14))/(MAX(Data!D14,Data!G14,Data!J14,Data!M14,Data!P14,Data!S14)-MIN(Data!D14,Data!G14,Data!J14,Data!M14,Data!P14,Data!S14)))))</f>
        <v/>
      </c>
      <c r="H13" s="13">
        <f>IF(COUNT(Data!D14,Data!G14,Data!J14,Data!M14,Data!P14,Data!S14)&lt;6,"",IF(MAX(Data!D14,Data!G14,Data!J14,Data!M14,Data!P14,Data!S14)=MIN(Data!D14,Data!G14,Data!J14,Data!M14,Data!P14,Data!S14),"",IF(Data!$C14="Lower is better",100*(MAX(Data!D14,Data!G14,Data!J14,Data!M14,Data!P14,Data!S14)-Data!S14)/(MAX(Data!D14,Data!G14,Data!J14,Data!M14,Data!P14,Data!S14)-MIN(Data!D14,Data!G14,Data!J14,Data!M14,Data!P14,Data!S14)),100*(Data!S14-MIN(Data!D14,Data!G14,Data!J14,Data!M14,Data!P14,Data!S14))/(MAX(Data!D14,Data!G14,Data!J14,Data!M14,Data!P14,Data!S14)-MIN(Data!D14,Data!G14,Data!J14,Data!M14,Data!P14,Data!S14)))))</f>
        <v/>
      </c>
    </row>
    <row r="14">
      <c r="A14" s="8">
        <f>Indicators!A14</f>
        <v/>
      </c>
      <c r="B14" s="12">
        <f>Indicators!C14</f>
        <v/>
      </c>
      <c r="C14" s="13">
        <f>IF(COUNT(Data!D15,Data!G15,Data!J15,Data!M15,Data!P15,Data!S15)&lt;6,"",IF(MAX(Data!D15,Data!G15,Data!J15,Data!M15,Data!P15,Data!S15)=MIN(Data!D15,Data!G15,Data!J15,Data!M15,Data!P15,Data!S15),"",IF(Data!$C15="Lower is better",100*(MAX(Data!D15,Data!G15,Data!J15,Data!M15,Data!P15,Data!S15)-Data!D15)/(MAX(Data!D15,Data!G15,Data!J15,Data!M15,Data!P15,Data!S15)-MIN(Data!D15,Data!G15,Data!J15,Data!M15,Data!P15,Data!S15)),100*(Data!D15-MIN(Data!D15,Data!G15,Data!J15,Data!M15,Data!P15,Data!S15))/(MAX(Data!D15,Data!G15,Data!J15,Data!M15,Data!P15,Data!S15)-MIN(Data!D15,Data!G15,Data!J15,Data!M15,Data!P15,Data!S15)))))</f>
        <v/>
      </c>
      <c r="D14" s="13">
        <f>IF(COUNT(Data!D15,Data!G15,Data!J15,Data!M15,Data!P15,Data!S15)&lt;6,"",IF(MAX(Data!D15,Data!G15,Data!J15,Data!M15,Data!P15,Data!S15)=MIN(Data!D15,Data!G15,Data!J15,Data!M15,Data!P15,Data!S15),"",IF(Data!$C15="Lower is better",100*(MAX(Data!D15,Data!G15,Data!J15,Data!M15,Data!P15,Data!S15)-Data!G15)/(MAX(Data!D15,Data!G15,Data!J15,Data!M15,Data!P15,Data!S15)-MIN(Data!D15,Data!G15,Data!J15,Data!M15,Data!P15,Data!S15)),100*(Data!G15-MIN(Data!D15,Data!G15,Data!J15,Data!M15,Data!P15,Data!S15))/(MAX(Data!D15,Data!G15,Data!J15,Data!M15,Data!P15,Data!S15)-MIN(Data!D15,Data!G15,Data!J15,Data!M15,Data!P15,Data!S15)))))</f>
        <v/>
      </c>
      <c r="E14" s="13">
        <f>IF(COUNT(Data!D15,Data!G15,Data!J15,Data!M15,Data!P15,Data!S15)&lt;6,"",IF(MAX(Data!D15,Data!G15,Data!J15,Data!M15,Data!P15,Data!S15)=MIN(Data!D15,Data!G15,Data!J15,Data!M15,Data!P15,Data!S15),"",IF(Data!$C15="Lower is better",100*(MAX(Data!D15,Data!G15,Data!J15,Data!M15,Data!P15,Data!S15)-Data!J15)/(MAX(Data!D15,Data!G15,Data!J15,Data!M15,Data!P15,Data!S15)-MIN(Data!D15,Data!G15,Data!J15,Data!M15,Data!P15,Data!S15)),100*(Data!J15-MIN(Data!D15,Data!G15,Data!J15,Data!M15,Data!P15,Data!S15))/(MAX(Data!D15,Data!G15,Data!J15,Data!M15,Data!P15,Data!S15)-MIN(Data!D15,Data!G15,Data!J15,Data!M15,Data!P15,Data!S15)))))</f>
        <v/>
      </c>
      <c r="F14" s="13">
        <f>IF(COUNT(Data!D15,Data!G15,Data!J15,Data!M15,Data!P15,Data!S15)&lt;6,"",IF(MAX(Data!D15,Data!G15,Data!J15,Data!M15,Data!P15,Data!S15)=MIN(Data!D15,Data!G15,Data!J15,Data!M15,Data!P15,Data!S15),"",IF(Data!$C15="Lower is better",100*(MAX(Data!D15,Data!G15,Data!J15,Data!M15,Data!P15,Data!S15)-Data!M15)/(MAX(Data!D15,Data!G15,Data!J15,Data!M15,Data!P15,Data!S15)-MIN(Data!D15,Data!G15,Data!J15,Data!M15,Data!P15,Data!S15)),100*(Data!M15-MIN(Data!D15,Data!G15,Data!J15,Data!M15,Data!P15,Data!S15))/(MAX(Data!D15,Data!G15,Data!J15,Data!M15,Data!P15,Data!S15)-MIN(Data!D15,Data!G15,Data!J15,Data!M15,Data!P15,Data!S15)))))</f>
        <v/>
      </c>
      <c r="G14" s="13">
        <f>IF(COUNT(Data!D15,Data!G15,Data!J15,Data!M15,Data!P15,Data!S15)&lt;6,"",IF(MAX(Data!D15,Data!G15,Data!J15,Data!M15,Data!P15,Data!S15)=MIN(Data!D15,Data!G15,Data!J15,Data!M15,Data!P15,Data!S15),"",IF(Data!$C15="Lower is better",100*(MAX(Data!D15,Data!G15,Data!J15,Data!M15,Data!P15,Data!S15)-Data!P15)/(MAX(Data!D15,Data!G15,Data!J15,Data!M15,Data!P15,Data!S15)-MIN(Data!D15,Data!G15,Data!J15,Data!M15,Data!P15,Data!S15)),100*(Data!P15-MIN(Data!D15,Data!G15,Data!J15,Data!M15,Data!P15,Data!S15))/(MAX(Data!D15,Data!G15,Data!J15,Data!M15,Data!P15,Data!S15)-MIN(Data!D15,Data!G15,Data!J15,Data!M15,Data!P15,Data!S15)))))</f>
        <v/>
      </c>
      <c r="H14" s="13">
        <f>IF(COUNT(Data!D15,Data!G15,Data!J15,Data!M15,Data!P15,Data!S15)&lt;6,"",IF(MAX(Data!D15,Data!G15,Data!J15,Data!M15,Data!P15,Data!S15)=MIN(Data!D15,Data!G15,Data!J15,Data!M15,Data!P15,Data!S15),"",IF(Data!$C15="Lower is better",100*(MAX(Data!D15,Data!G15,Data!J15,Data!M15,Data!P15,Data!S15)-Data!S15)/(MAX(Data!D15,Data!G15,Data!J15,Data!M15,Data!P15,Data!S15)-MIN(Data!D15,Data!G15,Data!J15,Data!M15,Data!P15,Data!S15)),100*(Data!S15-MIN(Data!D15,Data!G15,Data!J15,Data!M15,Data!P15,Data!S15))/(MAX(Data!D15,Data!G15,Data!J15,Data!M15,Data!P15,Data!S15)-MIN(Data!D15,Data!G15,Data!J15,Data!M15,Data!P15,Data!S15)))))</f>
        <v/>
      </c>
    </row>
    <row r="15">
      <c r="A15" s="8">
        <f>Indicators!A15</f>
        <v/>
      </c>
      <c r="B15" s="12">
        <f>Indicators!C15</f>
        <v/>
      </c>
      <c r="C15" s="13">
        <f>IF(COUNT(Data!D16,Data!G16,Data!J16,Data!M16,Data!P16,Data!S16)&lt;6,"",IF(MAX(Data!D16,Data!G16,Data!J16,Data!M16,Data!P16,Data!S16)=MIN(Data!D16,Data!G16,Data!J16,Data!M16,Data!P16,Data!S16),"",IF(Data!$C16="Lower is better",100*(MAX(Data!D16,Data!G16,Data!J16,Data!M16,Data!P16,Data!S16)-Data!D16)/(MAX(Data!D16,Data!G16,Data!J16,Data!M16,Data!P16,Data!S16)-MIN(Data!D16,Data!G16,Data!J16,Data!M16,Data!P16,Data!S16)),100*(Data!D16-MIN(Data!D16,Data!G16,Data!J16,Data!M16,Data!P16,Data!S16))/(MAX(Data!D16,Data!G16,Data!J16,Data!M16,Data!P16,Data!S16)-MIN(Data!D16,Data!G16,Data!J16,Data!M16,Data!P16,Data!S16)))))</f>
        <v/>
      </c>
      <c r="D15" s="13">
        <f>IF(COUNT(Data!D16,Data!G16,Data!J16,Data!M16,Data!P16,Data!S16)&lt;6,"",IF(MAX(Data!D16,Data!G16,Data!J16,Data!M16,Data!P16,Data!S16)=MIN(Data!D16,Data!G16,Data!J16,Data!M16,Data!P16,Data!S16),"",IF(Data!$C16="Lower is better",100*(MAX(Data!D16,Data!G16,Data!J16,Data!M16,Data!P16,Data!S16)-Data!G16)/(MAX(Data!D16,Data!G16,Data!J16,Data!M16,Data!P16,Data!S16)-MIN(Data!D16,Data!G16,Data!J16,Data!M16,Data!P16,Data!S16)),100*(Data!G16-MIN(Data!D16,Data!G16,Data!J16,Data!M16,Data!P16,Data!S16))/(MAX(Data!D16,Data!G16,Data!J16,Data!M16,Data!P16,Data!S16)-MIN(Data!D16,Data!G16,Data!J16,Data!M16,Data!P16,Data!S16)))))</f>
        <v/>
      </c>
      <c r="E15" s="13">
        <f>IF(COUNT(Data!D16,Data!G16,Data!J16,Data!M16,Data!P16,Data!S16)&lt;6,"",IF(MAX(Data!D16,Data!G16,Data!J16,Data!M16,Data!P16,Data!S16)=MIN(Data!D16,Data!G16,Data!J16,Data!M16,Data!P16,Data!S16),"",IF(Data!$C16="Lower is better",100*(MAX(Data!D16,Data!G16,Data!J16,Data!M16,Data!P16,Data!S16)-Data!J16)/(MAX(Data!D16,Data!G16,Data!J16,Data!M16,Data!P16,Data!S16)-MIN(Data!D16,Data!G16,Data!J16,Data!M16,Data!P16,Data!S16)),100*(Data!J16-MIN(Data!D16,Data!G16,Data!J16,Data!M16,Data!P16,Data!S16))/(MAX(Data!D16,Data!G16,Data!J16,Data!M16,Data!P16,Data!S16)-MIN(Data!D16,Data!G16,Data!J16,Data!M16,Data!P16,Data!S16)))))</f>
        <v/>
      </c>
      <c r="F15" s="13">
        <f>IF(COUNT(Data!D16,Data!G16,Data!J16,Data!M16,Data!P16,Data!S16)&lt;6,"",IF(MAX(Data!D16,Data!G16,Data!J16,Data!M16,Data!P16,Data!S16)=MIN(Data!D16,Data!G16,Data!J16,Data!M16,Data!P16,Data!S16),"",IF(Data!$C16="Lower is better",100*(MAX(Data!D16,Data!G16,Data!J16,Data!M16,Data!P16,Data!S16)-Data!M16)/(MAX(Data!D16,Data!G16,Data!J16,Data!M16,Data!P16,Data!S16)-MIN(Data!D16,Data!G16,Data!J16,Data!M16,Data!P16,Data!S16)),100*(Data!M16-MIN(Data!D16,Data!G16,Data!J16,Data!M16,Data!P16,Data!S16))/(MAX(Data!D16,Data!G16,Data!J16,Data!M16,Data!P16,Data!S16)-MIN(Data!D16,Data!G16,Data!J16,Data!M16,Data!P16,Data!S16)))))</f>
        <v/>
      </c>
      <c r="G15" s="13">
        <f>IF(COUNT(Data!D16,Data!G16,Data!J16,Data!M16,Data!P16,Data!S16)&lt;6,"",IF(MAX(Data!D16,Data!G16,Data!J16,Data!M16,Data!P16,Data!S16)=MIN(Data!D16,Data!G16,Data!J16,Data!M16,Data!P16,Data!S16),"",IF(Data!$C16="Lower is better",100*(MAX(Data!D16,Data!G16,Data!J16,Data!M16,Data!P16,Data!S16)-Data!P16)/(MAX(Data!D16,Data!G16,Data!J16,Data!M16,Data!P16,Data!S16)-MIN(Data!D16,Data!G16,Data!J16,Data!M16,Data!P16,Data!S16)),100*(Data!P16-MIN(Data!D16,Data!G16,Data!J16,Data!M16,Data!P16,Data!S16))/(MAX(Data!D16,Data!G16,Data!J16,Data!M16,Data!P16,Data!S16)-MIN(Data!D16,Data!G16,Data!J16,Data!M16,Data!P16,Data!S16)))))</f>
        <v/>
      </c>
      <c r="H15" s="13">
        <f>IF(COUNT(Data!D16,Data!G16,Data!J16,Data!M16,Data!P16,Data!S16)&lt;6,"",IF(MAX(Data!D16,Data!G16,Data!J16,Data!M16,Data!P16,Data!S16)=MIN(Data!D16,Data!G16,Data!J16,Data!M16,Data!P16,Data!S16),"",IF(Data!$C16="Lower is better",100*(MAX(Data!D16,Data!G16,Data!J16,Data!M16,Data!P16,Data!S16)-Data!S16)/(MAX(Data!D16,Data!G16,Data!J16,Data!M16,Data!P16,Data!S16)-MIN(Data!D16,Data!G16,Data!J16,Data!M16,Data!P16,Data!S16)),100*(Data!S16-MIN(Data!D16,Data!G16,Data!J16,Data!M16,Data!P16,Data!S16))/(MAX(Data!D16,Data!G16,Data!J16,Data!M16,Data!P16,Data!S16)-MIN(Data!D16,Data!G16,Data!J16,Data!M16,Data!P16,Data!S16)))))</f>
        <v/>
      </c>
    </row>
    <row r="16">
      <c r="A16" s="8">
        <f>Indicators!A16</f>
        <v/>
      </c>
      <c r="B16" s="12">
        <f>Indicators!C16</f>
        <v/>
      </c>
      <c r="C16" s="13">
        <f>IF(COUNT(Data!D17,Data!G17,Data!J17,Data!M17,Data!P17,Data!S17)&lt;6,"",IF(MAX(Data!D17,Data!G17,Data!J17,Data!M17,Data!P17,Data!S17)=MIN(Data!D17,Data!G17,Data!J17,Data!M17,Data!P17,Data!S17),"",IF(Data!$C17="Lower is better",100*(MAX(Data!D17,Data!G17,Data!J17,Data!M17,Data!P17,Data!S17)-Data!D17)/(MAX(Data!D17,Data!G17,Data!J17,Data!M17,Data!P17,Data!S17)-MIN(Data!D17,Data!G17,Data!J17,Data!M17,Data!P17,Data!S17)),100*(Data!D17-MIN(Data!D17,Data!G17,Data!J17,Data!M17,Data!P17,Data!S17))/(MAX(Data!D17,Data!G17,Data!J17,Data!M17,Data!P17,Data!S17)-MIN(Data!D17,Data!G17,Data!J17,Data!M17,Data!P17,Data!S17)))))</f>
        <v/>
      </c>
      <c r="D16" s="13">
        <f>IF(COUNT(Data!D17,Data!G17,Data!J17,Data!M17,Data!P17,Data!S17)&lt;6,"",IF(MAX(Data!D17,Data!G17,Data!J17,Data!M17,Data!P17,Data!S17)=MIN(Data!D17,Data!G17,Data!J17,Data!M17,Data!P17,Data!S17),"",IF(Data!$C17="Lower is better",100*(MAX(Data!D17,Data!G17,Data!J17,Data!M17,Data!P17,Data!S17)-Data!G17)/(MAX(Data!D17,Data!G17,Data!J17,Data!M17,Data!P17,Data!S17)-MIN(Data!D17,Data!G17,Data!J17,Data!M17,Data!P17,Data!S17)),100*(Data!G17-MIN(Data!D17,Data!G17,Data!J17,Data!M17,Data!P17,Data!S17))/(MAX(Data!D17,Data!G17,Data!J17,Data!M17,Data!P17,Data!S17)-MIN(Data!D17,Data!G17,Data!J17,Data!M17,Data!P17,Data!S17)))))</f>
        <v/>
      </c>
      <c r="E16" s="13">
        <f>IF(COUNT(Data!D17,Data!G17,Data!J17,Data!M17,Data!P17,Data!S17)&lt;6,"",IF(MAX(Data!D17,Data!G17,Data!J17,Data!M17,Data!P17,Data!S17)=MIN(Data!D17,Data!G17,Data!J17,Data!M17,Data!P17,Data!S17),"",IF(Data!$C17="Lower is better",100*(MAX(Data!D17,Data!G17,Data!J17,Data!M17,Data!P17,Data!S17)-Data!J17)/(MAX(Data!D17,Data!G17,Data!J17,Data!M17,Data!P17,Data!S17)-MIN(Data!D17,Data!G17,Data!J17,Data!M17,Data!P17,Data!S17)),100*(Data!J17-MIN(Data!D17,Data!G17,Data!J17,Data!M17,Data!P17,Data!S17))/(MAX(Data!D17,Data!G17,Data!J17,Data!M17,Data!P17,Data!S17)-MIN(Data!D17,Data!G17,Data!J17,Data!M17,Data!P17,Data!S17)))))</f>
        <v/>
      </c>
      <c r="F16" s="13">
        <f>IF(COUNT(Data!D17,Data!G17,Data!J17,Data!M17,Data!P17,Data!S17)&lt;6,"",IF(MAX(Data!D17,Data!G17,Data!J17,Data!M17,Data!P17,Data!S17)=MIN(Data!D17,Data!G17,Data!J17,Data!M17,Data!P17,Data!S17),"",IF(Data!$C17="Lower is better",100*(MAX(Data!D17,Data!G17,Data!J17,Data!M17,Data!P17,Data!S17)-Data!M17)/(MAX(Data!D17,Data!G17,Data!J17,Data!M17,Data!P17,Data!S17)-MIN(Data!D17,Data!G17,Data!J17,Data!M17,Data!P17,Data!S17)),100*(Data!M17-MIN(Data!D17,Data!G17,Data!J17,Data!M17,Data!P17,Data!S17))/(MAX(Data!D17,Data!G17,Data!J17,Data!M17,Data!P17,Data!S17)-MIN(Data!D17,Data!G17,Data!J17,Data!M17,Data!P17,Data!S17)))))</f>
        <v/>
      </c>
      <c r="G16" s="13">
        <f>IF(COUNT(Data!D17,Data!G17,Data!J17,Data!M17,Data!P17,Data!S17)&lt;6,"",IF(MAX(Data!D17,Data!G17,Data!J17,Data!M17,Data!P17,Data!S17)=MIN(Data!D17,Data!G17,Data!J17,Data!M17,Data!P17,Data!S17),"",IF(Data!$C17="Lower is better",100*(MAX(Data!D17,Data!G17,Data!J17,Data!M17,Data!P17,Data!S17)-Data!P17)/(MAX(Data!D17,Data!G17,Data!J17,Data!M17,Data!P17,Data!S17)-MIN(Data!D17,Data!G17,Data!J17,Data!M17,Data!P17,Data!S17)),100*(Data!P17-MIN(Data!D17,Data!G17,Data!J17,Data!M17,Data!P17,Data!S17))/(MAX(Data!D17,Data!G17,Data!J17,Data!M17,Data!P17,Data!S17)-MIN(Data!D17,Data!G17,Data!J17,Data!M17,Data!P17,Data!S17)))))</f>
        <v/>
      </c>
      <c r="H16" s="13">
        <f>IF(COUNT(Data!D17,Data!G17,Data!J17,Data!M17,Data!P17,Data!S17)&lt;6,"",IF(MAX(Data!D17,Data!G17,Data!J17,Data!M17,Data!P17,Data!S17)=MIN(Data!D17,Data!G17,Data!J17,Data!M17,Data!P17,Data!S17),"",IF(Data!$C17="Lower is better",100*(MAX(Data!D17,Data!G17,Data!J17,Data!M17,Data!P17,Data!S17)-Data!S17)/(MAX(Data!D17,Data!G17,Data!J17,Data!M17,Data!P17,Data!S17)-MIN(Data!D17,Data!G17,Data!J17,Data!M17,Data!P17,Data!S17)),100*(Data!S17-MIN(Data!D17,Data!G17,Data!J17,Data!M17,Data!P17,Data!S17))/(MAX(Data!D17,Data!G17,Data!J17,Data!M17,Data!P17,Data!S17)-MIN(Data!D17,Data!G17,Data!J17,Data!M17,Data!P17,Data!S17)))))</f>
        <v/>
      </c>
    </row>
    <row r="17">
      <c r="A17" s="8">
        <f>Indicators!A17</f>
        <v/>
      </c>
      <c r="B17" s="12">
        <f>Indicators!C17</f>
        <v/>
      </c>
      <c r="C17" s="13">
        <f>IF(COUNT(Data!D18,Data!G18,Data!J18,Data!M18,Data!P18,Data!S18)&lt;6,"",IF(MAX(Data!D18,Data!G18,Data!J18,Data!M18,Data!P18,Data!S18)=MIN(Data!D18,Data!G18,Data!J18,Data!M18,Data!P18,Data!S18),"",IF(Data!$C18="Lower is better",100*(MAX(Data!D18,Data!G18,Data!J18,Data!M18,Data!P18,Data!S18)-Data!D18)/(MAX(Data!D18,Data!G18,Data!J18,Data!M18,Data!P18,Data!S18)-MIN(Data!D18,Data!G18,Data!J18,Data!M18,Data!P18,Data!S18)),100*(Data!D18-MIN(Data!D18,Data!G18,Data!J18,Data!M18,Data!P18,Data!S18))/(MAX(Data!D18,Data!G18,Data!J18,Data!M18,Data!P18,Data!S18)-MIN(Data!D18,Data!G18,Data!J18,Data!M18,Data!P18,Data!S18)))))</f>
        <v/>
      </c>
      <c r="D17" s="13">
        <f>IF(COUNT(Data!D18,Data!G18,Data!J18,Data!M18,Data!P18,Data!S18)&lt;6,"",IF(MAX(Data!D18,Data!G18,Data!J18,Data!M18,Data!P18,Data!S18)=MIN(Data!D18,Data!G18,Data!J18,Data!M18,Data!P18,Data!S18),"",IF(Data!$C18="Lower is better",100*(MAX(Data!D18,Data!G18,Data!J18,Data!M18,Data!P18,Data!S18)-Data!G18)/(MAX(Data!D18,Data!G18,Data!J18,Data!M18,Data!P18,Data!S18)-MIN(Data!D18,Data!G18,Data!J18,Data!M18,Data!P18,Data!S18)),100*(Data!G18-MIN(Data!D18,Data!G18,Data!J18,Data!M18,Data!P18,Data!S18))/(MAX(Data!D18,Data!G18,Data!J18,Data!M18,Data!P18,Data!S18)-MIN(Data!D18,Data!G18,Data!J18,Data!M18,Data!P18,Data!S18)))))</f>
        <v/>
      </c>
      <c r="E17" s="13">
        <f>IF(COUNT(Data!D18,Data!G18,Data!J18,Data!M18,Data!P18,Data!S18)&lt;6,"",IF(MAX(Data!D18,Data!G18,Data!J18,Data!M18,Data!P18,Data!S18)=MIN(Data!D18,Data!G18,Data!J18,Data!M18,Data!P18,Data!S18),"",IF(Data!$C18="Lower is better",100*(MAX(Data!D18,Data!G18,Data!J18,Data!M18,Data!P18,Data!S18)-Data!J18)/(MAX(Data!D18,Data!G18,Data!J18,Data!M18,Data!P18,Data!S18)-MIN(Data!D18,Data!G18,Data!J18,Data!M18,Data!P18,Data!S18)),100*(Data!J18-MIN(Data!D18,Data!G18,Data!J18,Data!M18,Data!P18,Data!S18))/(MAX(Data!D18,Data!G18,Data!J18,Data!M18,Data!P18,Data!S18)-MIN(Data!D18,Data!G18,Data!J18,Data!M18,Data!P18,Data!S18)))))</f>
        <v/>
      </c>
      <c r="F17" s="13">
        <f>IF(COUNT(Data!D18,Data!G18,Data!J18,Data!M18,Data!P18,Data!S18)&lt;6,"",IF(MAX(Data!D18,Data!G18,Data!J18,Data!M18,Data!P18,Data!S18)=MIN(Data!D18,Data!G18,Data!J18,Data!M18,Data!P18,Data!S18),"",IF(Data!$C18="Lower is better",100*(MAX(Data!D18,Data!G18,Data!J18,Data!M18,Data!P18,Data!S18)-Data!M18)/(MAX(Data!D18,Data!G18,Data!J18,Data!M18,Data!P18,Data!S18)-MIN(Data!D18,Data!G18,Data!J18,Data!M18,Data!P18,Data!S18)),100*(Data!M18-MIN(Data!D18,Data!G18,Data!J18,Data!M18,Data!P18,Data!S18))/(MAX(Data!D18,Data!G18,Data!J18,Data!M18,Data!P18,Data!S18)-MIN(Data!D18,Data!G18,Data!J18,Data!M18,Data!P18,Data!S18)))))</f>
        <v/>
      </c>
      <c r="G17" s="13">
        <f>IF(COUNT(Data!D18,Data!G18,Data!J18,Data!M18,Data!P18,Data!S18)&lt;6,"",IF(MAX(Data!D18,Data!G18,Data!J18,Data!M18,Data!P18,Data!S18)=MIN(Data!D18,Data!G18,Data!J18,Data!M18,Data!P18,Data!S18),"",IF(Data!$C18="Lower is better",100*(MAX(Data!D18,Data!G18,Data!J18,Data!M18,Data!P18,Data!S18)-Data!P18)/(MAX(Data!D18,Data!G18,Data!J18,Data!M18,Data!P18,Data!S18)-MIN(Data!D18,Data!G18,Data!J18,Data!M18,Data!P18,Data!S18)),100*(Data!P18-MIN(Data!D18,Data!G18,Data!J18,Data!M18,Data!P18,Data!S18))/(MAX(Data!D18,Data!G18,Data!J18,Data!M18,Data!P18,Data!S18)-MIN(Data!D18,Data!G18,Data!J18,Data!M18,Data!P18,Data!S18)))))</f>
        <v/>
      </c>
      <c r="H17" s="13">
        <f>IF(COUNT(Data!D18,Data!G18,Data!J18,Data!M18,Data!P18,Data!S18)&lt;6,"",IF(MAX(Data!D18,Data!G18,Data!J18,Data!M18,Data!P18,Data!S18)=MIN(Data!D18,Data!G18,Data!J18,Data!M18,Data!P18,Data!S18),"",IF(Data!$C18="Lower is better",100*(MAX(Data!D18,Data!G18,Data!J18,Data!M18,Data!P18,Data!S18)-Data!S18)/(MAX(Data!D18,Data!G18,Data!J18,Data!M18,Data!P18,Data!S18)-MIN(Data!D18,Data!G18,Data!J18,Data!M18,Data!P18,Data!S18)),100*(Data!S18-MIN(Data!D18,Data!G18,Data!J18,Data!M18,Data!P18,Data!S18))/(MAX(Data!D18,Data!G18,Data!J18,Data!M18,Data!P18,Data!S18)-MIN(Data!D18,Data!G18,Data!J18,Data!M18,Data!P18,Data!S18)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T-scores (z-scores rescaled: 50 + 10 x z, direction respected)</t>
        </is>
      </c>
    </row>
    <row r="2">
      <c r="A2" s="2" t="inlineStr">
        <is>
          <t>z = (value - mean) / standard deviation of the six countries; T = 50 + 10 x z. 50 = average of the six countries, 60 = one standard deviation better. Not capped at 0 or 100.</t>
        </is>
      </c>
    </row>
    <row r="3">
      <c r="A3" s="5" t="inlineStr">
        <is>
          <t>ID</t>
        </is>
      </c>
      <c r="B3" s="5" t="inlineStr">
        <is>
          <t>Indicator</t>
        </is>
      </c>
      <c r="C3" s="5" t="inlineStr">
        <is>
          <t>Argentina</t>
        </is>
      </c>
      <c r="D3" s="5" t="inlineStr">
        <is>
          <t>Brazil</t>
        </is>
      </c>
      <c r="E3" s="5" t="inlineStr">
        <is>
          <t>Chile</t>
        </is>
      </c>
      <c r="F3" s="5" t="inlineStr">
        <is>
          <t>Colombia</t>
        </is>
      </c>
      <c r="G3" s="5" t="inlineStr">
        <is>
          <t>Mexico</t>
        </is>
      </c>
      <c r="H3" s="5" t="inlineStr">
        <is>
          <t>Uruguay</t>
        </is>
      </c>
    </row>
    <row r="4">
      <c r="A4" s="8">
        <f>Indicators!A4</f>
        <v/>
      </c>
      <c r="B4" s="12">
        <f>Indicators!C4</f>
        <v/>
      </c>
      <c r="C4" s="13">
        <f>IF(COUNT(Data!D5,Data!G5,Data!J5,Data!M5,Data!P5,Data!S5)&lt;6,"",IF(STDEVP(Data!D5,Data!G5,Data!J5,Data!M5,Data!P5,Data!S5)=0,"",IF(Data!$C5="Lower is better",-1,1)*(Data!D5-AVERAGE(Data!D5,Data!G5,Data!J5,Data!M5,Data!P5,Data!S5))/STDEVP(Data!D5,Data!G5,Data!J5,Data!M5,Data!P5,Data!S5)*10+50))</f>
        <v/>
      </c>
      <c r="D4" s="13">
        <f>IF(COUNT(Data!D5,Data!G5,Data!J5,Data!M5,Data!P5,Data!S5)&lt;6,"",IF(STDEVP(Data!D5,Data!G5,Data!J5,Data!M5,Data!P5,Data!S5)=0,"",IF(Data!$C5="Lower is better",-1,1)*(Data!G5-AVERAGE(Data!D5,Data!G5,Data!J5,Data!M5,Data!P5,Data!S5))/STDEVP(Data!D5,Data!G5,Data!J5,Data!M5,Data!P5,Data!S5)*10+50))</f>
        <v/>
      </c>
      <c r="E4" s="13">
        <f>IF(COUNT(Data!D5,Data!G5,Data!J5,Data!M5,Data!P5,Data!S5)&lt;6,"",IF(STDEVP(Data!D5,Data!G5,Data!J5,Data!M5,Data!P5,Data!S5)=0,"",IF(Data!$C5="Lower is better",-1,1)*(Data!J5-AVERAGE(Data!D5,Data!G5,Data!J5,Data!M5,Data!P5,Data!S5))/STDEVP(Data!D5,Data!G5,Data!J5,Data!M5,Data!P5,Data!S5)*10+50))</f>
        <v/>
      </c>
      <c r="F4" s="13">
        <f>IF(COUNT(Data!D5,Data!G5,Data!J5,Data!M5,Data!P5,Data!S5)&lt;6,"",IF(STDEVP(Data!D5,Data!G5,Data!J5,Data!M5,Data!P5,Data!S5)=0,"",IF(Data!$C5="Lower is better",-1,1)*(Data!M5-AVERAGE(Data!D5,Data!G5,Data!J5,Data!M5,Data!P5,Data!S5))/STDEVP(Data!D5,Data!G5,Data!J5,Data!M5,Data!P5,Data!S5)*10+50))</f>
        <v/>
      </c>
      <c r="G4" s="13">
        <f>IF(COUNT(Data!D5,Data!G5,Data!J5,Data!M5,Data!P5,Data!S5)&lt;6,"",IF(STDEVP(Data!D5,Data!G5,Data!J5,Data!M5,Data!P5,Data!S5)=0,"",IF(Data!$C5="Lower is better",-1,1)*(Data!P5-AVERAGE(Data!D5,Data!G5,Data!J5,Data!M5,Data!P5,Data!S5))/STDEVP(Data!D5,Data!G5,Data!J5,Data!M5,Data!P5,Data!S5)*10+50))</f>
        <v/>
      </c>
      <c r="H4" s="13">
        <f>IF(COUNT(Data!D5,Data!G5,Data!J5,Data!M5,Data!P5,Data!S5)&lt;6,"",IF(STDEVP(Data!D5,Data!G5,Data!J5,Data!M5,Data!P5,Data!S5)=0,"",IF(Data!$C5="Lower is better",-1,1)*(Data!S5-AVERAGE(Data!D5,Data!G5,Data!J5,Data!M5,Data!P5,Data!S5))/STDEVP(Data!D5,Data!G5,Data!J5,Data!M5,Data!P5,Data!S5)*10+50))</f>
        <v/>
      </c>
    </row>
    <row r="5">
      <c r="A5" s="8">
        <f>Indicators!A5</f>
        <v/>
      </c>
      <c r="B5" s="12">
        <f>Indicators!C5</f>
        <v/>
      </c>
      <c r="C5" s="13">
        <f>IF(COUNT(Data!D6,Data!G6,Data!J6,Data!M6,Data!P6,Data!S6)&lt;6,"",IF(STDEVP(Data!D6,Data!G6,Data!J6,Data!M6,Data!P6,Data!S6)=0,"",IF(Data!$C6="Lower is better",-1,1)*(Data!D6-AVERAGE(Data!D6,Data!G6,Data!J6,Data!M6,Data!P6,Data!S6))/STDEVP(Data!D6,Data!G6,Data!J6,Data!M6,Data!P6,Data!S6)*10+50))</f>
        <v/>
      </c>
      <c r="D5" s="13">
        <f>IF(COUNT(Data!D6,Data!G6,Data!J6,Data!M6,Data!P6,Data!S6)&lt;6,"",IF(STDEVP(Data!D6,Data!G6,Data!J6,Data!M6,Data!P6,Data!S6)=0,"",IF(Data!$C6="Lower is better",-1,1)*(Data!G6-AVERAGE(Data!D6,Data!G6,Data!J6,Data!M6,Data!P6,Data!S6))/STDEVP(Data!D6,Data!G6,Data!J6,Data!M6,Data!P6,Data!S6)*10+50))</f>
        <v/>
      </c>
      <c r="E5" s="13">
        <f>IF(COUNT(Data!D6,Data!G6,Data!J6,Data!M6,Data!P6,Data!S6)&lt;6,"",IF(STDEVP(Data!D6,Data!G6,Data!J6,Data!M6,Data!P6,Data!S6)=0,"",IF(Data!$C6="Lower is better",-1,1)*(Data!J6-AVERAGE(Data!D6,Data!G6,Data!J6,Data!M6,Data!P6,Data!S6))/STDEVP(Data!D6,Data!G6,Data!J6,Data!M6,Data!P6,Data!S6)*10+50))</f>
        <v/>
      </c>
      <c r="F5" s="13">
        <f>IF(COUNT(Data!D6,Data!G6,Data!J6,Data!M6,Data!P6,Data!S6)&lt;6,"",IF(STDEVP(Data!D6,Data!G6,Data!J6,Data!M6,Data!P6,Data!S6)=0,"",IF(Data!$C6="Lower is better",-1,1)*(Data!M6-AVERAGE(Data!D6,Data!G6,Data!J6,Data!M6,Data!P6,Data!S6))/STDEVP(Data!D6,Data!G6,Data!J6,Data!M6,Data!P6,Data!S6)*10+50))</f>
        <v/>
      </c>
      <c r="G5" s="13">
        <f>IF(COUNT(Data!D6,Data!G6,Data!J6,Data!M6,Data!P6,Data!S6)&lt;6,"",IF(STDEVP(Data!D6,Data!G6,Data!J6,Data!M6,Data!P6,Data!S6)=0,"",IF(Data!$C6="Lower is better",-1,1)*(Data!P6-AVERAGE(Data!D6,Data!G6,Data!J6,Data!M6,Data!P6,Data!S6))/STDEVP(Data!D6,Data!G6,Data!J6,Data!M6,Data!P6,Data!S6)*10+50))</f>
        <v/>
      </c>
      <c r="H5" s="13">
        <f>IF(COUNT(Data!D6,Data!G6,Data!J6,Data!M6,Data!P6,Data!S6)&lt;6,"",IF(STDEVP(Data!D6,Data!G6,Data!J6,Data!M6,Data!P6,Data!S6)=0,"",IF(Data!$C6="Lower is better",-1,1)*(Data!S6-AVERAGE(Data!D6,Data!G6,Data!J6,Data!M6,Data!P6,Data!S6))/STDEVP(Data!D6,Data!G6,Data!J6,Data!M6,Data!P6,Data!S6)*10+50))</f>
        <v/>
      </c>
    </row>
    <row r="6">
      <c r="A6" s="8">
        <f>Indicators!A6</f>
        <v/>
      </c>
      <c r="B6" s="12">
        <f>Indicators!C6</f>
        <v/>
      </c>
      <c r="C6" s="13">
        <f>IF(COUNT(Data!D7,Data!G7,Data!J7,Data!M7,Data!P7,Data!S7)&lt;6,"",IF(STDEVP(Data!D7,Data!G7,Data!J7,Data!M7,Data!P7,Data!S7)=0,"",IF(Data!$C7="Lower is better",-1,1)*(Data!D7-AVERAGE(Data!D7,Data!G7,Data!J7,Data!M7,Data!P7,Data!S7))/STDEVP(Data!D7,Data!G7,Data!J7,Data!M7,Data!P7,Data!S7)*10+50))</f>
        <v/>
      </c>
      <c r="D6" s="13">
        <f>IF(COUNT(Data!D7,Data!G7,Data!J7,Data!M7,Data!P7,Data!S7)&lt;6,"",IF(STDEVP(Data!D7,Data!G7,Data!J7,Data!M7,Data!P7,Data!S7)=0,"",IF(Data!$C7="Lower is better",-1,1)*(Data!G7-AVERAGE(Data!D7,Data!G7,Data!J7,Data!M7,Data!P7,Data!S7))/STDEVP(Data!D7,Data!G7,Data!J7,Data!M7,Data!P7,Data!S7)*10+50))</f>
        <v/>
      </c>
      <c r="E6" s="13">
        <f>IF(COUNT(Data!D7,Data!G7,Data!J7,Data!M7,Data!P7,Data!S7)&lt;6,"",IF(STDEVP(Data!D7,Data!G7,Data!J7,Data!M7,Data!P7,Data!S7)=0,"",IF(Data!$C7="Lower is better",-1,1)*(Data!J7-AVERAGE(Data!D7,Data!G7,Data!J7,Data!M7,Data!P7,Data!S7))/STDEVP(Data!D7,Data!G7,Data!J7,Data!M7,Data!P7,Data!S7)*10+50))</f>
        <v/>
      </c>
      <c r="F6" s="13">
        <f>IF(COUNT(Data!D7,Data!G7,Data!J7,Data!M7,Data!P7,Data!S7)&lt;6,"",IF(STDEVP(Data!D7,Data!G7,Data!J7,Data!M7,Data!P7,Data!S7)=0,"",IF(Data!$C7="Lower is better",-1,1)*(Data!M7-AVERAGE(Data!D7,Data!G7,Data!J7,Data!M7,Data!P7,Data!S7))/STDEVP(Data!D7,Data!G7,Data!J7,Data!M7,Data!P7,Data!S7)*10+50))</f>
        <v/>
      </c>
      <c r="G6" s="13">
        <f>IF(COUNT(Data!D7,Data!G7,Data!J7,Data!M7,Data!P7,Data!S7)&lt;6,"",IF(STDEVP(Data!D7,Data!G7,Data!J7,Data!M7,Data!P7,Data!S7)=0,"",IF(Data!$C7="Lower is better",-1,1)*(Data!P7-AVERAGE(Data!D7,Data!G7,Data!J7,Data!M7,Data!P7,Data!S7))/STDEVP(Data!D7,Data!G7,Data!J7,Data!M7,Data!P7,Data!S7)*10+50))</f>
        <v/>
      </c>
      <c r="H6" s="13">
        <f>IF(COUNT(Data!D7,Data!G7,Data!J7,Data!M7,Data!P7,Data!S7)&lt;6,"",IF(STDEVP(Data!D7,Data!G7,Data!J7,Data!M7,Data!P7,Data!S7)=0,"",IF(Data!$C7="Lower is better",-1,1)*(Data!S7-AVERAGE(Data!D7,Data!G7,Data!J7,Data!M7,Data!P7,Data!S7))/STDEVP(Data!D7,Data!G7,Data!J7,Data!M7,Data!P7,Data!S7)*10+50))</f>
        <v/>
      </c>
    </row>
    <row r="7">
      <c r="A7" s="8">
        <f>Indicators!A7</f>
        <v/>
      </c>
      <c r="B7" s="12">
        <f>Indicators!C7</f>
        <v/>
      </c>
      <c r="C7" s="13">
        <f>IF(COUNT(Data!D8,Data!G8,Data!J8,Data!M8,Data!P8,Data!S8)&lt;6,"",IF(STDEVP(Data!D8,Data!G8,Data!J8,Data!M8,Data!P8,Data!S8)=0,"",IF(Data!$C8="Lower is better",-1,1)*(Data!D8-AVERAGE(Data!D8,Data!G8,Data!J8,Data!M8,Data!P8,Data!S8))/STDEVP(Data!D8,Data!G8,Data!J8,Data!M8,Data!P8,Data!S8)*10+50))</f>
        <v/>
      </c>
      <c r="D7" s="13">
        <f>IF(COUNT(Data!D8,Data!G8,Data!J8,Data!M8,Data!P8,Data!S8)&lt;6,"",IF(STDEVP(Data!D8,Data!G8,Data!J8,Data!M8,Data!P8,Data!S8)=0,"",IF(Data!$C8="Lower is better",-1,1)*(Data!G8-AVERAGE(Data!D8,Data!G8,Data!J8,Data!M8,Data!P8,Data!S8))/STDEVP(Data!D8,Data!G8,Data!J8,Data!M8,Data!P8,Data!S8)*10+50))</f>
        <v/>
      </c>
      <c r="E7" s="13">
        <f>IF(COUNT(Data!D8,Data!G8,Data!J8,Data!M8,Data!P8,Data!S8)&lt;6,"",IF(STDEVP(Data!D8,Data!G8,Data!J8,Data!M8,Data!P8,Data!S8)=0,"",IF(Data!$C8="Lower is better",-1,1)*(Data!J8-AVERAGE(Data!D8,Data!G8,Data!J8,Data!M8,Data!P8,Data!S8))/STDEVP(Data!D8,Data!G8,Data!J8,Data!M8,Data!P8,Data!S8)*10+50))</f>
        <v/>
      </c>
      <c r="F7" s="13">
        <f>IF(COUNT(Data!D8,Data!G8,Data!J8,Data!M8,Data!P8,Data!S8)&lt;6,"",IF(STDEVP(Data!D8,Data!G8,Data!J8,Data!M8,Data!P8,Data!S8)=0,"",IF(Data!$C8="Lower is better",-1,1)*(Data!M8-AVERAGE(Data!D8,Data!G8,Data!J8,Data!M8,Data!P8,Data!S8))/STDEVP(Data!D8,Data!G8,Data!J8,Data!M8,Data!P8,Data!S8)*10+50))</f>
        <v/>
      </c>
      <c r="G7" s="13">
        <f>IF(COUNT(Data!D8,Data!G8,Data!J8,Data!M8,Data!P8,Data!S8)&lt;6,"",IF(STDEVP(Data!D8,Data!G8,Data!J8,Data!M8,Data!P8,Data!S8)=0,"",IF(Data!$C8="Lower is better",-1,1)*(Data!P8-AVERAGE(Data!D8,Data!G8,Data!J8,Data!M8,Data!P8,Data!S8))/STDEVP(Data!D8,Data!G8,Data!J8,Data!M8,Data!P8,Data!S8)*10+50))</f>
        <v/>
      </c>
      <c r="H7" s="13">
        <f>IF(COUNT(Data!D8,Data!G8,Data!J8,Data!M8,Data!P8,Data!S8)&lt;6,"",IF(STDEVP(Data!D8,Data!G8,Data!J8,Data!M8,Data!P8,Data!S8)=0,"",IF(Data!$C8="Lower is better",-1,1)*(Data!S8-AVERAGE(Data!D8,Data!G8,Data!J8,Data!M8,Data!P8,Data!S8))/STDEVP(Data!D8,Data!G8,Data!J8,Data!M8,Data!P8,Data!S8)*10+50))</f>
        <v/>
      </c>
    </row>
    <row r="8">
      <c r="A8" s="8">
        <f>Indicators!A8</f>
        <v/>
      </c>
      <c r="B8" s="12">
        <f>Indicators!C8</f>
        <v/>
      </c>
      <c r="C8" s="13">
        <f>IF(COUNT(Data!D9,Data!G9,Data!J9,Data!M9,Data!P9,Data!S9)&lt;6,"",IF(STDEVP(Data!D9,Data!G9,Data!J9,Data!M9,Data!P9,Data!S9)=0,"",IF(Data!$C9="Lower is better",-1,1)*(Data!D9-AVERAGE(Data!D9,Data!G9,Data!J9,Data!M9,Data!P9,Data!S9))/STDEVP(Data!D9,Data!G9,Data!J9,Data!M9,Data!P9,Data!S9)*10+50))</f>
        <v/>
      </c>
      <c r="D8" s="13">
        <f>IF(COUNT(Data!D9,Data!G9,Data!J9,Data!M9,Data!P9,Data!S9)&lt;6,"",IF(STDEVP(Data!D9,Data!G9,Data!J9,Data!M9,Data!P9,Data!S9)=0,"",IF(Data!$C9="Lower is better",-1,1)*(Data!G9-AVERAGE(Data!D9,Data!G9,Data!J9,Data!M9,Data!P9,Data!S9))/STDEVP(Data!D9,Data!G9,Data!J9,Data!M9,Data!P9,Data!S9)*10+50))</f>
        <v/>
      </c>
      <c r="E8" s="13">
        <f>IF(COUNT(Data!D9,Data!G9,Data!J9,Data!M9,Data!P9,Data!S9)&lt;6,"",IF(STDEVP(Data!D9,Data!G9,Data!J9,Data!M9,Data!P9,Data!S9)=0,"",IF(Data!$C9="Lower is better",-1,1)*(Data!J9-AVERAGE(Data!D9,Data!G9,Data!J9,Data!M9,Data!P9,Data!S9))/STDEVP(Data!D9,Data!G9,Data!J9,Data!M9,Data!P9,Data!S9)*10+50))</f>
        <v/>
      </c>
      <c r="F8" s="13">
        <f>IF(COUNT(Data!D9,Data!G9,Data!J9,Data!M9,Data!P9,Data!S9)&lt;6,"",IF(STDEVP(Data!D9,Data!G9,Data!J9,Data!M9,Data!P9,Data!S9)=0,"",IF(Data!$C9="Lower is better",-1,1)*(Data!M9-AVERAGE(Data!D9,Data!G9,Data!J9,Data!M9,Data!P9,Data!S9))/STDEVP(Data!D9,Data!G9,Data!J9,Data!M9,Data!P9,Data!S9)*10+50))</f>
        <v/>
      </c>
      <c r="G8" s="13">
        <f>IF(COUNT(Data!D9,Data!G9,Data!J9,Data!M9,Data!P9,Data!S9)&lt;6,"",IF(STDEVP(Data!D9,Data!G9,Data!J9,Data!M9,Data!P9,Data!S9)=0,"",IF(Data!$C9="Lower is better",-1,1)*(Data!P9-AVERAGE(Data!D9,Data!G9,Data!J9,Data!M9,Data!P9,Data!S9))/STDEVP(Data!D9,Data!G9,Data!J9,Data!M9,Data!P9,Data!S9)*10+50))</f>
        <v/>
      </c>
      <c r="H8" s="13">
        <f>IF(COUNT(Data!D9,Data!G9,Data!J9,Data!M9,Data!P9,Data!S9)&lt;6,"",IF(STDEVP(Data!D9,Data!G9,Data!J9,Data!M9,Data!P9,Data!S9)=0,"",IF(Data!$C9="Lower is better",-1,1)*(Data!S9-AVERAGE(Data!D9,Data!G9,Data!J9,Data!M9,Data!P9,Data!S9))/STDEVP(Data!D9,Data!G9,Data!J9,Data!M9,Data!P9,Data!S9)*10+50))</f>
        <v/>
      </c>
    </row>
    <row r="9">
      <c r="A9" s="8">
        <f>Indicators!A9</f>
        <v/>
      </c>
      <c r="B9" s="12">
        <f>Indicators!C9</f>
        <v/>
      </c>
      <c r="C9" s="13">
        <f>IF(COUNT(Data!D10,Data!G10,Data!J10,Data!M10,Data!P10,Data!S10)&lt;6,"",IF(STDEVP(Data!D10,Data!G10,Data!J10,Data!M10,Data!P10,Data!S10)=0,"",IF(Data!$C10="Lower is better",-1,1)*(Data!D10-AVERAGE(Data!D10,Data!G10,Data!J10,Data!M10,Data!P10,Data!S10))/STDEVP(Data!D10,Data!G10,Data!J10,Data!M10,Data!P10,Data!S10)*10+50))</f>
        <v/>
      </c>
      <c r="D9" s="13">
        <f>IF(COUNT(Data!D10,Data!G10,Data!J10,Data!M10,Data!P10,Data!S10)&lt;6,"",IF(STDEVP(Data!D10,Data!G10,Data!J10,Data!M10,Data!P10,Data!S10)=0,"",IF(Data!$C10="Lower is better",-1,1)*(Data!G10-AVERAGE(Data!D10,Data!G10,Data!J10,Data!M10,Data!P10,Data!S10))/STDEVP(Data!D10,Data!G10,Data!J10,Data!M10,Data!P10,Data!S10)*10+50))</f>
        <v/>
      </c>
      <c r="E9" s="13">
        <f>IF(COUNT(Data!D10,Data!G10,Data!J10,Data!M10,Data!P10,Data!S10)&lt;6,"",IF(STDEVP(Data!D10,Data!G10,Data!J10,Data!M10,Data!P10,Data!S10)=0,"",IF(Data!$C10="Lower is better",-1,1)*(Data!J10-AVERAGE(Data!D10,Data!G10,Data!J10,Data!M10,Data!P10,Data!S10))/STDEVP(Data!D10,Data!G10,Data!J10,Data!M10,Data!P10,Data!S10)*10+50))</f>
        <v/>
      </c>
      <c r="F9" s="13">
        <f>IF(COUNT(Data!D10,Data!G10,Data!J10,Data!M10,Data!P10,Data!S10)&lt;6,"",IF(STDEVP(Data!D10,Data!G10,Data!J10,Data!M10,Data!P10,Data!S10)=0,"",IF(Data!$C10="Lower is better",-1,1)*(Data!M10-AVERAGE(Data!D10,Data!G10,Data!J10,Data!M10,Data!P10,Data!S10))/STDEVP(Data!D10,Data!G10,Data!J10,Data!M10,Data!P10,Data!S10)*10+50))</f>
        <v/>
      </c>
      <c r="G9" s="13">
        <f>IF(COUNT(Data!D10,Data!G10,Data!J10,Data!M10,Data!P10,Data!S10)&lt;6,"",IF(STDEVP(Data!D10,Data!G10,Data!J10,Data!M10,Data!P10,Data!S10)=0,"",IF(Data!$C10="Lower is better",-1,1)*(Data!P10-AVERAGE(Data!D10,Data!G10,Data!J10,Data!M10,Data!P10,Data!S10))/STDEVP(Data!D10,Data!G10,Data!J10,Data!M10,Data!P10,Data!S10)*10+50))</f>
        <v/>
      </c>
      <c r="H9" s="13">
        <f>IF(COUNT(Data!D10,Data!G10,Data!J10,Data!M10,Data!P10,Data!S10)&lt;6,"",IF(STDEVP(Data!D10,Data!G10,Data!J10,Data!M10,Data!P10,Data!S10)=0,"",IF(Data!$C10="Lower is better",-1,1)*(Data!S10-AVERAGE(Data!D10,Data!G10,Data!J10,Data!M10,Data!P10,Data!S10))/STDEVP(Data!D10,Data!G10,Data!J10,Data!M10,Data!P10,Data!S10)*10+50))</f>
        <v/>
      </c>
    </row>
    <row r="10">
      <c r="A10" s="8">
        <f>Indicators!A10</f>
        <v/>
      </c>
      <c r="B10" s="12">
        <f>Indicators!C10</f>
        <v/>
      </c>
      <c r="C10" s="13">
        <f>IF(COUNT(Data!D11,Data!G11,Data!J11,Data!M11,Data!P11,Data!S11)&lt;6,"",IF(STDEVP(Data!D11,Data!G11,Data!J11,Data!M11,Data!P11,Data!S11)=0,"",IF(Data!$C11="Lower is better",-1,1)*(Data!D11-AVERAGE(Data!D11,Data!G11,Data!J11,Data!M11,Data!P11,Data!S11))/STDEVP(Data!D11,Data!G11,Data!J11,Data!M11,Data!P11,Data!S11)*10+50))</f>
        <v/>
      </c>
      <c r="D10" s="13">
        <f>IF(COUNT(Data!D11,Data!G11,Data!J11,Data!M11,Data!P11,Data!S11)&lt;6,"",IF(STDEVP(Data!D11,Data!G11,Data!J11,Data!M11,Data!P11,Data!S11)=0,"",IF(Data!$C11="Lower is better",-1,1)*(Data!G11-AVERAGE(Data!D11,Data!G11,Data!J11,Data!M11,Data!P11,Data!S11))/STDEVP(Data!D11,Data!G11,Data!J11,Data!M11,Data!P11,Data!S11)*10+50))</f>
        <v/>
      </c>
      <c r="E10" s="13">
        <f>IF(COUNT(Data!D11,Data!G11,Data!J11,Data!M11,Data!P11,Data!S11)&lt;6,"",IF(STDEVP(Data!D11,Data!G11,Data!J11,Data!M11,Data!P11,Data!S11)=0,"",IF(Data!$C11="Lower is better",-1,1)*(Data!J11-AVERAGE(Data!D11,Data!G11,Data!J11,Data!M11,Data!P11,Data!S11))/STDEVP(Data!D11,Data!G11,Data!J11,Data!M11,Data!P11,Data!S11)*10+50))</f>
        <v/>
      </c>
      <c r="F10" s="13">
        <f>IF(COUNT(Data!D11,Data!G11,Data!J11,Data!M11,Data!P11,Data!S11)&lt;6,"",IF(STDEVP(Data!D11,Data!G11,Data!J11,Data!M11,Data!P11,Data!S11)=0,"",IF(Data!$C11="Lower is better",-1,1)*(Data!M11-AVERAGE(Data!D11,Data!G11,Data!J11,Data!M11,Data!P11,Data!S11))/STDEVP(Data!D11,Data!G11,Data!J11,Data!M11,Data!P11,Data!S11)*10+50))</f>
        <v/>
      </c>
      <c r="G10" s="13">
        <f>IF(COUNT(Data!D11,Data!G11,Data!J11,Data!M11,Data!P11,Data!S11)&lt;6,"",IF(STDEVP(Data!D11,Data!G11,Data!J11,Data!M11,Data!P11,Data!S11)=0,"",IF(Data!$C11="Lower is better",-1,1)*(Data!P11-AVERAGE(Data!D11,Data!G11,Data!J11,Data!M11,Data!P11,Data!S11))/STDEVP(Data!D11,Data!G11,Data!J11,Data!M11,Data!P11,Data!S11)*10+50))</f>
        <v/>
      </c>
      <c r="H10" s="13">
        <f>IF(COUNT(Data!D11,Data!G11,Data!J11,Data!M11,Data!P11,Data!S11)&lt;6,"",IF(STDEVP(Data!D11,Data!G11,Data!J11,Data!M11,Data!P11,Data!S11)=0,"",IF(Data!$C11="Lower is better",-1,1)*(Data!S11-AVERAGE(Data!D11,Data!G11,Data!J11,Data!M11,Data!P11,Data!S11))/STDEVP(Data!D11,Data!G11,Data!J11,Data!M11,Data!P11,Data!S11)*10+50))</f>
        <v/>
      </c>
    </row>
    <row r="11">
      <c r="A11" s="8">
        <f>Indicators!A11</f>
        <v/>
      </c>
      <c r="B11" s="12">
        <f>Indicators!C11</f>
        <v/>
      </c>
      <c r="C11" s="13">
        <f>IF(COUNT(Data!D12,Data!G12,Data!J12,Data!M12,Data!P12,Data!S12)&lt;6,"",IF(STDEVP(Data!D12,Data!G12,Data!J12,Data!M12,Data!P12,Data!S12)=0,"",IF(Data!$C12="Lower is better",-1,1)*(Data!D12-AVERAGE(Data!D12,Data!G12,Data!J12,Data!M12,Data!P12,Data!S12))/STDEVP(Data!D12,Data!G12,Data!J12,Data!M12,Data!P12,Data!S12)*10+50))</f>
        <v/>
      </c>
      <c r="D11" s="13">
        <f>IF(COUNT(Data!D12,Data!G12,Data!J12,Data!M12,Data!P12,Data!S12)&lt;6,"",IF(STDEVP(Data!D12,Data!G12,Data!J12,Data!M12,Data!P12,Data!S12)=0,"",IF(Data!$C12="Lower is better",-1,1)*(Data!G12-AVERAGE(Data!D12,Data!G12,Data!J12,Data!M12,Data!P12,Data!S12))/STDEVP(Data!D12,Data!G12,Data!J12,Data!M12,Data!P12,Data!S12)*10+50))</f>
        <v/>
      </c>
      <c r="E11" s="13">
        <f>IF(COUNT(Data!D12,Data!G12,Data!J12,Data!M12,Data!P12,Data!S12)&lt;6,"",IF(STDEVP(Data!D12,Data!G12,Data!J12,Data!M12,Data!P12,Data!S12)=0,"",IF(Data!$C12="Lower is better",-1,1)*(Data!J12-AVERAGE(Data!D12,Data!G12,Data!J12,Data!M12,Data!P12,Data!S12))/STDEVP(Data!D12,Data!G12,Data!J12,Data!M12,Data!P12,Data!S12)*10+50))</f>
        <v/>
      </c>
      <c r="F11" s="13">
        <f>IF(COUNT(Data!D12,Data!G12,Data!J12,Data!M12,Data!P12,Data!S12)&lt;6,"",IF(STDEVP(Data!D12,Data!G12,Data!J12,Data!M12,Data!P12,Data!S12)=0,"",IF(Data!$C12="Lower is better",-1,1)*(Data!M12-AVERAGE(Data!D12,Data!G12,Data!J12,Data!M12,Data!P12,Data!S12))/STDEVP(Data!D12,Data!G12,Data!J12,Data!M12,Data!P12,Data!S12)*10+50))</f>
        <v/>
      </c>
      <c r="G11" s="13">
        <f>IF(COUNT(Data!D12,Data!G12,Data!J12,Data!M12,Data!P12,Data!S12)&lt;6,"",IF(STDEVP(Data!D12,Data!G12,Data!J12,Data!M12,Data!P12,Data!S12)=0,"",IF(Data!$C12="Lower is better",-1,1)*(Data!P12-AVERAGE(Data!D12,Data!G12,Data!J12,Data!M12,Data!P12,Data!S12))/STDEVP(Data!D12,Data!G12,Data!J12,Data!M12,Data!P12,Data!S12)*10+50))</f>
        <v/>
      </c>
      <c r="H11" s="13">
        <f>IF(COUNT(Data!D12,Data!G12,Data!J12,Data!M12,Data!P12,Data!S12)&lt;6,"",IF(STDEVP(Data!D12,Data!G12,Data!J12,Data!M12,Data!P12,Data!S12)=0,"",IF(Data!$C12="Lower is better",-1,1)*(Data!S12-AVERAGE(Data!D12,Data!G12,Data!J12,Data!M12,Data!P12,Data!S12))/STDEVP(Data!D12,Data!G12,Data!J12,Data!M12,Data!P12,Data!S12)*10+50))</f>
        <v/>
      </c>
    </row>
    <row r="12">
      <c r="A12" s="8">
        <f>Indicators!A12</f>
        <v/>
      </c>
      <c r="B12" s="12">
        <f>Indicators!C12</f>
        <v/>
      </c>
      <c r="C12" s="13">
        <f>IF(COUNT(Data!D13,Data!G13,Data!J13,Data!M13,Data!P13,Data!S13)&lt;6,"",IF(STDEVP(Data!D13,Data!G13,Data!J13,Data!M13,Data!P13,Data!S13)=0,"",IF(Data!$C13="Lower is better",-1,1)*(Data!D13-AVERAGE(Data!D13,Data!G13,Data!J13,Data!M13,Data!P13,Data!S13))/STDEVP(Data!D13,Data!G13,Data!J13,Data!M13,Data!P13,Data!S13)*10+50))</f>
        <v/>
      </c>
      <c r="D12" s="13">
        <f>IF(COUNT(Data!D13,Data!G13,Data!J13,Data!M13,Data!P13,Data!S13)&lt;6,"",IF(STDEVP(Data!D13,Data!G13,Data!J13,Data!M13,Data!P13,Data!S13)=0,"",IF(Data!$C13="Lower is better",-1,1)*(Data!G13-AVERAGE(Data!D13,Data!G13,Data!J13,Data!M13,Data!P13,Data!S13))/STDEVP(Data!D13,Data!G13,Data!J13,Data!M13,Data!P13,Data!S13)*10+50))</f>
        <v/>
      </c>
      <c r="E12" s="13">
        <f>IF(COUNT(Data!D13,Data!G13,Data!J13,Data!M13,Data!P13,Data!S13)&lt;6,"",IF(STDEVP(Data!D13,Data!G13,Data!J13,Data!M13,Data!P13,Data!S13)=0,"",IF(Data!$C13="Lower is better",-1,1)*(Data!J13-AVERAGE(Data!D13,Data!G13,Data!J13,Data!M13,Data!P13,Data!S13))/STDEVP(Data!D13,Data!G13,Data!J13,Data!M13,Data!P13,Data!S13)*10+50))</f>
        <v/>
      </c>
      <c r="F12" s="13">
        <f>IF(COUNT(Data!D13,Data!G13,Data!J13,Data!M13,Data!P13,Data!S13)&lt;6,"",IF(STDEVP(Data!D13,Data!G13,Data!J13,Data!M13,Data!P13,Data!S13)=0,"",IF(Data!$C13="Lower is better",-1,1)*(Data!M13-AVERAGE(Data!D13,Data!G13,Data!J13,Data!M13,Data!P13,Data!S13))/STDEVP(Data!D13,Data!G13,Data!J13,Data!M13,Data!P13,Data!S13)*10+50))</f>
        <v/>
      </c>
      <c r="G12" s="13">
        <f>IF(COUNT(Data!D13,Data!G13,Data!J13,Data!M13,Data!P13,Data!S13)&lt;6,"",IF(STDEVP(Data!D13,Data!G13,Data!J13,Data!M13,Data!P13,Data!S13)=0,"",IF(Data!$C13="Lower is better",-1,1)*(Data!P13-AVERAGE(Data!D13,Data!G13,Data!J13,Data!M13,Data!P13,Data!S13))/STDEVP(Data!D13,Data!G13,Data!J13,Data!M13,Data!P13,Data!S13)*10+50))</f>
        <v/>
      </c>
      <c r="H12" s="13">
        <f>IF(COUNT(Data!D13,Data!G13,Data!J13,Data!M13,Data!P13,Data!S13)&lt;6,"",IF(STDEVP(Data!D13,Data!G13,Data!J13,Data!M13,Data!P13,Data!S13)=0,"",IF(Data!$C13="Lower is better",-1,1)*(Data!S13-AVERAGE(Data!D13,Data!G13,Data!J13,Data!M13,Data!P13,Data!S13))/STDEVP(Data!D13,Data!G13,Data!J13,Data!M13,Data!P13,Data!S13)*10+50))</f>
        <v/>
      </c>
    </row>
    <row r="13">
      <c r="A13" s="8">
        <f>Indicators!A13</f>
        <v/>
      </c>
      <c r="B13" s="12">
        <f>Indicators!C13</f>
        <v/>
      </c>
      <c r="C13" s="13">
        <f>IF(COUNT(Data!D14,Data!G14,Data!J14,Data!M14,Data!P14,Data!S14)&lt;6,"",IF(STDEVP(Data!D14,Data!G14,Data!J14,Data!M14,Data!P14,Data!S14)=0,"",IF(Data!$C14="Lower is better",-1,1)*(Data!D14-AVERAGE(Data!D14,Data!G14,Data!J14,Data!M14,Data!P14,Data!S14))/STDEVP(Data!D14,Data!G14,Data!J14,Data!M14,Data!P14,Data!S14)*10+50))</f>
        <v/>
      </c>
      <c r="D13" s="13">
        <f>IF(COUNT(Data!D14,Data!G14,Data!J14,Data!M14,Data!P14,Data!S14)&lt;6,"",IF(STDEVP(Data!D14,Data!G14,Data!J14,Data!M14,Data!P14,Data!S14)=0,"",IF(Data!$C14="Lower is better",-1,1)*(Data!G14-AVERAGE(Data!D14,Data!G14,Data!J14,Data!M14,Data!P14,Data!S14))/STDEVP(Data!D14,Data!G14,Data!J14,Data!M14,Data!P14,Data!S14)*10+50))</f>
        <v/>
      </c>
      <c r="E13" s="13">
        <f>IF(COUNT(Data!D14,Data!G14,Data!J14,Data!M14,Data!P14,Data!S14)&lt;6,"",IF(STDEVP(Data!D14,Data!G14,Data!J14,Data!M14,Data!P14,Data!S14)=0,"",IF(Data!$C14="Lower is better",-1,1)*(Data!J14-AVERAGE(Data!D14,Data!G14,Data!J14,Data!M14,Data!P14,Data!S14))/STDEVP(Data!D14,Data!G14,Data!J14,Data!M14,Data!P14,Data!S14)*10+50))</f>
        <v/>
      </c>
      <c r="F13" s="13">
        <f>IF(COUNT(Data!D14,Data!G14,Data!J14,Data!M14,Data!P14,Data!S14)&lt;6,"",IF(STDEVP(Data!D14,Data!G14,Data!J14,Data!M14,Data!P14,Data!S14)=0,"",IF(Data!$C14="Lower is better",-1,1)*(Data!M14-AVERAGE(Data!D14,Data!G14,Data!J14,Data!M14,Data!P14,Data!S14))/STDEVP(Data!D14,Data!G14,Data!J14,Data!M14,Data!P14,Data!S14)*10+50))</f>
        <v/>
      </c>
      <c r="G13" s="13">
        <f>IF(COUNT(Data!D14,Data!G14,Data!J14,Data!M14,Data!P14,Data!S14)&lt;6,"",IF(STDEVP(Data!D14,Data!G14,Data!J14,Data!M14,Data!P14,Data!S14)=0,"",IF(Data!$C14="Lower is better",-1,1)*(Data!P14-AVERAGE(Data!D14,Data!G14,Data!J14,Data!M14,Data!P14,Data!S14))/STDEVP(Data!D14,Data!G14,Data!J14,Data!M14,Data!P14,Data!S14)*10+50))</f>
        <v/>
      </c>
      <c r="H13" s="13">
        <f>IF(COUNT(Data!D14,Data!G14,Data!J14,Data!M14,Data!P14,Data!S14)&lt;6,"",IF(STDEVP(Data!D14,Data!G14,Data!J14,Data!M14,Data!P14,Data!S14)=0,"",IF(Data!$C14="Lower is better",-1,1)*(Data!S14-AVERAGE(Data!D14,Data!G14,Data!J14,Data!M14,Data!P14,Data!S14))/STDEVP(Data!D14,Data!G14,Data!J14,Data!M14,Data!P14,Data!S14)*10+50))</f>
        <v/>
      </c>
    </row>
    <row r="14">
      <c r="A14" s="8">
        <f>Indicators!A14</f>
        <v/>
      </c>
      <c r="B14" s="12">
        <f>Indicators!C14</f>
        <v/>
      </c>
      <c r="C14" s="13">
        <f>IF(COUNT(Data!D15,Data!G15,Data!J15,Data!M15,Data!P15,Data!S15)&lt;6,"",IF(STDEVP(Data!D15,Data!G15,Data!J15,Data!M15,Data!P15,Data!S15)=0,"",IF(Data!$C15="Lower is better",-1,1)*(Data!D15-AVERAGE(Data!D15,Data!G15,Data!J15,Data!M15,Data!P15,Data!S15))/STDEVP(Data!D15,Data!G15,Data!J15,Data!M15,Data!P15,Data!S15)*10+50))</f>
        <v/>
      </c>
      <c r="D14" s="13">
        <f>IF(COUNT(Data!D15,Data!G15,Data!J15,Data!M15,Data!P15,Data!S15)&lt;6,"",IF(STDEVP(Data!D15,Data!G15,Data!J15,Data!M15,Data!P15,Data!S15)=0,"",IF(Data!$C15="Lower is better",-1,1)*(Data!G15-AVERAGE(Data!D15,Data!G15,Data!J15,Data!M15,Data!P15,Data!S15))/STDEVP(Data!D15,Data!G15,Data!J15,Data!M15,Data!P15,Data!S15)*10+50))</f>
        <v/>
      </c>
      <c r="E14" s="13">
        <f>IF(COUNT(Data!D15,Data!G15,Data!J15,Data!M15,Data!P15,Data!S15)&lt;6,"",IF(STDEVP(Data!D15,Data!G15,Data!J15,Data!M15,Data!P15,Data!S15)=0,"",IF(Data!$C15="Lower is better",-1,1)*(Data!J15-AVERAGE(Data!D15,Data!G15,Data!J15,Data!M15,Data!P15,Data!S15))/STDEVP(Data!D15,Data!G15,Data!J15,Data!M15,Data!P15,Data!S15)*10+50))</f>
        <v/>
      </c>
      <c r="F14" s="13">
        <f>IF(COUNT(Data!D15,Data!G15,Data!J15,Data!M15,Data!P15,Data!S15)&lt;6,"",IF(STDEVP(Data!D15,Data!G15,Data!J15,Data!M15,Data!P15,Data!S15)=0,"",IF(Data!$C15="Lower is better",-1,1)*(Data!M15-AVERAGE(Data!D15,Data!G15,Data!J15,Data!M15,Data!P15,Data!S15))/STDEVP(Data!D15,Data!G15,Data!J15,Data!M15,Data!P15,Data!S15)*10+50))</f>
        <v/>
      </c>
      <c r="G14" s="13">
        <f>IF(COUNT(Data!D15,Data!G15,Data!J15,Data!M15,Data!P15,Data!S15)&lt;6,"",IF(STDEVP(Data!D15,Data!G15,Data!J15,Data!M15,Data!P15,Data!S15)=0,"",IF(Data!$C15="Lower is better",-1,1)*(Data!P15-AVERAGE(Data!D15,Data!G15,Data!J15,Data!M15,Data!P15,Data!S15))/STDEVP(Data!D15,Data!G15,Data!J15,Data!M15,Data!P15,Data!S15)*10+50))</f>
        <v/>
      </c>
      <c r="H14" s="13">
        <f>IF(COUNT(Data!D15,Data!G15,Data!J15,Data!M15,Data!P15,Data!S15)&lt;6,"",IF(STDEVP(Data!D15,Data!G15,Data!J15,Data!M15,Data!P15,Data!S15)=0,"",IF(Data!$C15="Lower is better",-1,1)*(Data!S15-AVERAGE(Data!D15,Data!G15,Data!J15,Data!M15,Data!P15,Data!S15))/STDEVP(Data!D15,Data!G15,Data!J15,Data!M15,Data!P15,Data!S15)*10+50))</f>
        <v/>
      </c>
    </row>
    <row r="15">
      <c r="A15" s="8">
        <f>Indicators!A15</f>
        <v/>
      </c>
      <c r="B15" s="12">
        <f>Indicators!C15</f>
        <v/>
      </c>
      <c r="C15" s="13">
        <f>IF(COUNT(Data!D16,Data!G16,Data!J16,Data!M16,Data!P16,Data!S16)&lt;6,"",IF(STDEVP(Data!D16,Data!G16,Data!J16,Data!M16,Data!P16,Data!S16)=0,"",IF(Data!$C16="Lower is better",-1,1)*(Data!D16-AVERAGE(Data!D16,Data!G16,Data!J16,Data!M16,Data!P16,Data!S16))/STDEVP(Data!D16,Data!G16,Data!J16,Data!M16,Data!P16,Data!S16)*10+50))</f>
        <v/>
      </c>
      <c r="D15" s="13">
        <f>IF(COUNT(Data!D16,Data!G16,Data!J16,Data!M16,Data!P16,Data!S16)&lt;6,"",IF(STDEVP(Data!D16,Data!G16,Data!J16,Data!M16,Data!P16,Data!S16)=0,"",IF(Data!$C16="Lower is better",-1,1)*(Data!G16-AVERAGE(Data!D16,Data!G16,Data!J16,Data!M16,Data!P16,Data!S16))/STDEVP(Data!D16,Data!G16,Data!J16,Data!M16,Data!P16,Data!S16)*10+50))</f>
        <v/>
      </c>
      <c r="E15" s="13">
        <f>IF(COUNT(Data!D16,Data!G16,Data!J16,Data!M16,Data!P16,Data!S16)&lt;6,"",IF(STDEVP(Data!D16,Data!G16,Data!J16,Data!M16,Data!P16,Data!S16)=0,"",IF(Data!$C16="Lower is better",-1,1)*(Data!J16-AVERAGE(Data!D16,Data!G16,Data!J16,Data!M16,Data!P16,Data!S16))/STDEVP(Data!D16,Data!G16,Data!J16,Data!M16,Data!P16,Data!S16)*10+50))</f>
        <v/>
      </c>
      <c r="F15" s="13">
        <f>IF(COUNT(Data!D16,Data!G16,Data!J16,Data!M16,Data!P16,Data!S16)&lt;6,"",IF(STDEVP(Data!D16,Data!G16,Data!J16,Data!M16,Data!P16,Data!S16)=0,"",IF(Data!$C16="Lower is better",-1,1)*(Data!M16-AVERAGE(Data!D16,Data!G16,Data!J16,Data!M16,Data!P16,Data!S16))/STDEVP(Data!D16,Data!G16,Data!J16,Data!M16,Data!P16,Data!S16)*10+50))</f>
        <v/>
      </c>
      <c r="G15" s="13">
        <f>IF(COUNT(Data!D16,Data!G16,Data!J16,Data!M16,Data!P16,Data!S16)&lt;6,"",IF(STDEVP(Data!D16,Data!G16,Data!J16,Data!M16,Data!P16,Data!S16)=0,"",IF(Data!$C16="Lower is better",-1,1)*(Data!P16-AVERAGE(Data!D16,Data!G16,Data!J16,Data!M16,Data!P16,Data!S16))/STDEVP(Data!D16,Data!G16,Data!J16,Data!M16,Data!P16,Data!S16)*10+50))</f>
        <v/>
      </c>
      <c r="H15" s="13">
        <f>IF(COUNT(Data!D16,Data!G16,Data!J16,Data!M16,Data!P16,Data!S16)&lt;6,"",IF(STDEVP(Data!D16,Data!G16,Data!J16,Data!M16,Data!P16,Data!S16)=0,"",IF(Data!$C16="Lower is better",-1,1)*(Data!S16-AVERAGE(Data!D16,Data!G16,Data!J16,Data!M16,Data!P16,Data!S16))/STDEVP(Data!D16,Data!G16,Data!J16,Data!M16,Data!P16,Data!S16)*10+50))</f>
        <v/>
      </c>
    </row>
    <row r="16">
      <c r="A16" s="8">
        <f>Indicators!A16</f>
        <v/>
      </c>
      <c r="B16" s="12">
        <f>Indicators!C16</f>
        <v/>
      </c>
      <c r="C16" s="13">
        <f>IF(COUNT(Data!D17,Data!G17,Data!J17,Data!M17,Data!P17,Data!S17)&lt;6,"",IF(STDEVP(Data!D17,Data!G17,Data!J17,Data!M17,Data!P17,Data!S17)=0,"",IF(Data!$C17="Lower is better",-1,1)*(Data!D17-AVERAGE(Data!D17,Data!G17,Data!J17,Data!M17,Data!P17,Data!S17))/STDEVP(Data!D17,Data!G17,Data!J17,Data!M17,Data!P17,Data!S17)*10+50))</f>
        <v/>
      </c>
      <c r="D16" s="13">
        <f>IF(COUNT(Data!D17,Data!G17,Data!J17,Data!M17,Data!P17,Data!S17)&lt;6,"",IF(STDEVP(Data!D17,Data!G17,Data!J17,Data!M17,Data!P17,Data!S17)=0,"",IF(Data!$C17="Lower is better",-1,1)*(Data!G17-AVERAGE(Data!D17,Data!G17,Data!J17,Data!M17,Data!P17,Data!S17))/STDEVP(Data!D17,Data!G17,Data!J17,Data!M17,Data!P17,Data!S17)*10+50))</f>
        <v/>
      </c>
      <c r="E16" s="13">
        <f>IF(COUNT(Data!D17,Data!G17,Data!J17,Data!M17,Data!P17,Data!S17)&lt;6,"",IF(STDEVP(Data!D17,Data!G17,Data!J17,Data!M17,Data!P17,Data!S17)=0,"",IF(Data!$C17="Lower is better",-1,1)*(Data!J17-AVERAGE(Data!D17,Data!G17,Data!J17,Data!M17,Data!P17,Data!S17))/STDEVP(Data!D17,Data!G17,Data!J17,Data!M17,Data!P17,Data!S17)*10+50))</f>
        <v/>
      </c>
      <c r="F16" s="13">
        <f>IF(COUNT(Data!D17,Data!G17,Data!J17,Data!M17,Data!P17,Data!S17)&lt;6,"",IF(STDEVP(Data!D17,Data!G17,Data!J17,Data!M17,Data!P17,Data!S17)=0,"",IF(Data!$C17="Lower is better",-1,1)*(Data!M17-AVERAGE(Data!D17,Data!G17,Data!J17,Data!M17,Data!P17,Data!S17))/STDEVP(Data!D17,Data!G17,Data!J17,Data!M17,Data!P17,Data!S17)*10+50))</f>
        <v/>
      </c>
      <c r="G16" s="13">
        <f>IF(COUNT(Data!D17,Data!G17,Data!J17,Data!M17,Data!P17,Data!S17)&lt;6,"",IF(STDEVP(Data!D17,Data!G17,Data!J17,Data!M17,Data!P17,Data!S17)=0,"",IF(Data!$C17="Lower is better",-1,1)*(Data!P17-AVERAGE(Data!D17,Data!G17,Data!J17,Data!M17,Data!P17,Data!S17))/STDEVP(Data!D17,Data!G17,Data!J17,Data!M17,Data!P17,Data!S17)*10+50))</f>
        <v/>
      </c>
      <c r="H16" s="13">
        <f>IF(COUNT(Data!D17,Data!G17,Data!J17,Data!M17,Data!P17,Data!S17)&lt;6,"",IF(STDEVP(Data!D17,Data!G17,Data!J17,Data!M17,Data!P17,Data!S17)=0,"",IF(Data!$C17="Lower is better",-1,1)*(Data!S17-AVERAGE(Data!D17,Data!G17,Data!J17,Data!M17,Data!P17,Data!S17))/STDEVP(Data!D17,Data!G17,Data!J17,Data!M17,Data!P17,Data!S17)*10+50))</f>
        <v/>
      </c>
    </row>
    <row r="17">
      <c r="A17" s="8">
        <f>Indicators!A17</f>
        <v/>
      </c>
      <c r="B17" s="12">
        <f>Indicators!C17</f>
        <v/>
      </c>
      <c r="C17" s="13">
        <f>IF(COUNT(Data!D18,Data!G18,Data!J18,Data!M18,Data!P18,Data!S18)&lt;6,"",IF(STDEVP(Data!D18,Data!G18,Data!J18,Data!M18,Data!P18,Data!S18)=0,"",IF(Data!$C18="Lower is better",-1,1)*(Data!D18-AVERAGE(Data!D18,Data!G18,Data!J18,Data!M18,Data!P18,Data!S18))/STDEVP(Data!D18,Data!G18,Data!J18,Data!M18,Data!P18,Data!S18)*10+50))</f>
        <v/>
      </c>
      <c r="D17" s="13">
        <f>IF(COUNT(Data!D18,Data!G18,Data!J18,Data!M18,Data!P18,Data!S18)&lt;6,"",IF(STDEVP(Data!D18,Data!G18,Data!J18,Data!M18,Data!P18,Data!S18)=0,"",IF(Data!$C18="Lower is better",-1,1)*(Data!G18-AVERAGE(Data!D18,Data!G18,Data!J18,Data!M18,Data!P18,Data!S18))/STDEVP(Data!D18,Data!G18,Data!J18,Data!M18,Data!P18,Data!S18)*10+50))</f>
        <v/>
      </c>
      <c r="E17" s="13">
        <f>IF(COUNT(Data!D18,Data!G18,Data!J18,Data!M18,Data!P18,Data!S18)&lt;6,"",IF(STDEVP(Data!D18,Data!G18,Data!J18,Data!M18,Data!P18,Data!S18)=0,"",IF(Data!$C18="Lower is better",-1,1)*(Data!J18-AVERAGE(Data!D18,Data!G18,Data!J18,Data!M18,Data!P18,Data!S18))/STDEVP(Data!D18,Data!G18,Data!J18,Data!M18,Data!P18,Data!S18)*10+50))</f>
        <v/>
      </c>
      <c r="F17" s="13">
        <f>IF(COUNT(Data!D18,Data!G18,Data!J18,Data!M18,Data!P18,Data!S18)&lt;6,"",IF(STDEVP(Data!D18,Data!G18,Data!J18,Data!M18,Data!P18,Data!S18)=0,"",IF(Data!$C18="Lower is better",-1,1)*(Data!M18-AVERAGE(Data!D18,Data!G18,Data!J18,Data!M18,Data!P18,Data!S18))/STDEVP(Data!D18,Data!G18,Data!J18,Data!M18,Data!P18,Data!S18)*10+50))</f>
        <v/>
      </c>
      <c r="G17" s="13">
        <f>IF(COUNT(Data!D18,Data!G18,Data!J18,Data!M18,Data!P18,Data!S18)&lt;6,"",IF(STDEVP(Data!D18,Data!G18,Data!J18,Data!M18,Data!P18,Data!S18)=0,"",IF(Data!$C18="Lower is better",-1,1)*(Data!P18-AVERAGE(Data!D18,Data!G18,Data!J18,Data!M18,Data!P18,Data!S18))/STDEVP(Data!D18,Data!G18,Data!J18,Data!M18,Data!P18,Data!S18)*10+50))</f>
        <v/>
      </c>
      <c r="H17" s="13">
        <f>IF(COUNT(Data!D18,Data!G18,Data!J18,Data!M18,Data!P18,Data!S18)&lt;6,"",IF(STDEVP(Data!D18,Data!G18,Data!J18,Data!M18,Data!P18,Data!S18)=0,"",IF(Data!$C18="Lower is better",-1,1)*(Data!S18-AVERAGE(Data!D18,Data!G18,Data!J18,Data!M18,Data!P18,Data!S18))/STDEVP(Data!D18,Data!G18,Data!J18,Data!M18,Data!P18,Data!S18)*10+50))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Scores and ranks</t>
        </is>
      </c>
    </row>
    <row r="2">
      <c r="A2" s="2" t="inlineStr">
        <is>
          <t>Complete only when all six countries have a value for every indicator. Until then: "incomplete".</t>
        </is>
      </c>
    </row>
    <row r="3">
      <c r="A3" s="19" t="inlineStr">
        <is>
          <t>A. Weighted score (0 to 100, min-max)</t>
        </is>
      </c>
    </row>
    <row r="4">
      <c r="A4" s="5" t="inlineStr">
        <is>
          <t>Country</t>
        </is>
      </c>
      <c r="B4" s="5" t="inlineStr">
        <is>
          <t>Baseline</t>
        </is>
      </c>
      <c r="C4" s="5" t="inlineStr">
        <is>
          <t>Equal</t>
        </is>
      </c>
      <c r="D4" s="5" t="inlineStr">
        <is>
          <t>Economy-led</t>
        </is>
      </c>
      <c r="E4" s="5" t="inlineStr">
        <is>
          <t>Access-led</t>
        </is>
      </c>
      <c r="F4" s="5" t="inlineStr">
        <is>
          <t>Society-led</t>
        </is>
      </c>
    </row>
    <row r="5">
      <c r="A5" s="6" t="inlineStr">
        <is>
          <t>Argentina</t>
        </is>
      </c>
      <c r="B5" s="13">
        <f>IF(COUNT(Normalised!C4:C17)&lt;14,"incomplete",SUMPRODUCT(Weights!C17:C30,Normalised!C4:C17)/100)</f>
        <v/>
      </c>
      <c r="C5" s="13">
        <f>IF(COUNT(Normalised!C4:C17)&lt;14,"incomplete",SUMPRODUCT(Weights!D17:D30,Normalised!C4:C17)/100)</f>
        <v/>
      </c>
      <c r="D5" s="13">
        <f>IF(COUNT(Normalised!C4:C17)&lt;14,"incomplete",SUMPRODUCT(Weights!E17:E30,Normalised!C4:C17)/100)</f>
        <v/>
      </c>
      <c r="E5" s="13">
        <f>IF(COUNT(Normalised!C4:C17)&lt;14,"incomplete",SUMPRODUCT(Weights!F17:F30,Normalised!C4:C17)/100)</f>
        <v/>
      </c>
      <c r="F5" s="13">
        <f>IF(COUNT(Normalised!C4:C17)&lt;14,"incomplete",SUMPRODUCT(Weights!G17:G30,Normalised!C4:C17)/100)</f>
        <v/>
      </c>
    </row>
    <row r="6">
      <c r="A6" s="6" t="inlineStr">
        <is>
          <t>Brazil</t>
        </is>
      </c>
      <c r="B6" s="13">
        <f>IF(COUNT(Normalised!D4:D17)&lt;14,"incomplete",SUMPRODUCT(Weights!C17:C30,Normalised!D4:D17)/100)</f>
        <v/>
      </c>
      <c r="C6" s="13">
        <f>IF(COUNT(Normalised!D4:D17)&lt;14,"incomplete",SUMPRODUCT(Weights!D17:D30,Normalised!D4:D17)/100)</f>
        <v/>
      </c>
      <c r="D6" s="13">
        <f>IF(COUNT(Normalised!D4:D17)&lt;14,"incomplete",SUMPRODUCT(Weights!E17:E30,Normalised!D4:D17)/100)</f>
        <v/>
      </c>
      <c r="E6" s="13">
        <f>IF(COUNT(Normalised!D4:D17)&lt;14,"incomplete",SUMPRODUCT(Weights!F17:F30,Normalised!D4:D17)/100)</f>
        <v/>
      </c>
      <c r="F6" s="13">
        <f>IF(COUNT(Normalised!D4:D17)&lt;14,"incomplete",SUMPRODUCT(Weights!G17:G30,Normalised!D4:D17)/100)</f>
        <v/>
      </c>
    </row>
    <row r="7">
      <c r="A7" s="6" t="inlineStr">
        <is>
          <t>Chile</t>
        </is>
      </c>
      <c r="B7" s="13">
        <f>IF(COUNT(Normalised!E4:E17)&lt;14,"incomplete",SUMPRODUCT(Weights!C17:C30,Normalised!E4:E17)/100)</f>
        <v/>
      </c>
      <c r="C7" s="13">
        <f>IF(COUNT(Normalised!E4:E17)&lt;14,"incomplete",SUMPRODUCT(Weights!D17:D30,Normalised!E4:E17)/100)</f>
        <v/>
      </c>
      <c r="D7" s="13">
        <f>IF(COUNT(Normalised!E4:E17)&lt;14,"incomplete",SUMPRODUCT(Weights!E17:E30,Normalised!E4:E17)/100)</f>
        <v/>
      </c>
      <c r="E7" s="13">
        <f>IF(COUNT(Normalised!E4:E17)&lt;14,"incomplete",SUMPRODUCT(Weights!F17:F30,Normalised!E4:E17)/100)</f>
        <v/>
      </c>
      <c r="F7" s="13">
        <f>IF(COUNT(Normalised!E4:E17)&lt;14,"incomplete",SUMPRODUCT(Weights!G17:G30,Normalised!E4:E17)/100)</f>
        <v/>
      </c>
    </row>
    <row r="8">
      <c r="A8" s="6" t="inlineStr">
        <is>
          <t>Colombia</t>
        </is>
      </c>
      <c r="B8" s="13">
        <f>IF(COUNT(Normalised!F4:F17)&lt;14,"incomplete",SUMPRODUCT(Weights!C17:C30,Normalised!F4:F17)/100)</f>
        <v/>
      </c>
      <c r="C8" s="13">
        <f>IF(COUNT(Normalised!F4:F17)&lt;14,"incomplete",SUMPRODUCT(Weights!D17:D30,Normalised!F4:F17)/100)</f>
        <v/>
      </c>
      <c r="D8" s="13">
        <f>IF(COUNT(Normalised!F4:F17)&lt;14,"incomplete",SUMPRODUCT(Weights!E17:E30,Normalised!F4:F17)/100)</f>
        <v/>
      </c>
      <c r="E8" s="13">
        <f>IF(COUNT(Normalised!F4:F17)&lt;14,"incomplete",SUMPRODUCT(Weights!F17:F30,Normalised!F4:F17)/100)</f>
        <v/>
      </c>
      <c r="F8" s="13">
        <f>IF(COUNT(Normalised!F4:F17)&lt;14,"incomplete",SUMPRODUCT(Weights!G17:G30,Normalised!F4:F17)/100)</f>
        <v/>
      </c>
    </row>
    <row r="9">
      <c r="A9" s="6" t="inlineStr">
        <is>
          <t>Mexico</t>
        </is>
      </c>
      <c r="B9" s="13">
        <f>IF(COUNT(Normalised!G4:G17)&lt;14,"incomplete",SUMPRODUCT(Weights!C17:C30,Normalised!G4:G17)/100)</f>
        <v/>
      </c>
      <c r="C9" s="13">
        <f>IF(COUNT(Normalised!G4:G17)&lt;14,"incomplete",SUMPRODUCT(Weights!D17:D30,Normalised!G4:G17)/100)</f>
        <v/>
      </c>
      <c r="D9" s="13">
        <f>IF(COUNT(Normalised!G4:G17)&lt;14,"incomplete",SUMPRODUCT(Weights!E17:E30,Normalised!G4:G17)/100)</f>
        <v/>
      </c>
      <c r="E9" s="13">
        <f>IF(COUNT(Normalised!G4:G17)&lt;14,"incomplete",SUMPRODUCT(Weights!F17:F30,Normalised!G4:G17)/100)</f>
        <v/>
      </c>
      <c r="F9" s="13">
        <f>IF(COUNT(Normalised!G4:G17)&lt;14,"incomplete",SUMPRODUCT(Weights!G17:G30,Normalised!G4:G17)/100)</f>
        <v/>
      </c>
    </row>
    <row r="10">
      <c r="A10" s="6" t="inlineStr">
        <is>
          <t>Uruguay</t>
        </is>
      </c>
      <c r="B10" s="13">
        <f>IF(COUNT(Normalised!H4:H17)&lt;14,"incomplete",SUMPRODUCT(Weights!C17:C30,Normalised!H4:H17)/100)</f>
        <v/>
      </c>
      <c r="C10" s="13">
        <f>IF(COUNT(Normalised!H4:H17)&lt;14,"incomplete",SUMPRODUCT(Weights!D17:D30,Normalised!H4:H17)/100)</f>
        <v/>
      </c>
      <c r="D10" s="13">
        <f>IF(COUNT(Normalised!H4:H17)&lt;14,"incomplete",SUMPRODUCT(Weights!E17:E30,Normalised!H4:H17)/100)</f>
        <v/>
      </c>
      <c r="E10" s="13">
        <f>IF(COUNT(Normalised!H4:H17)&lt;14,"incomplete",SUMPRODUCT(Weights!F17:F30,Normalised!H4:H17)/100)</f>
        <v/>
      </c>
      <c r="F10" s="13">
        <f>IF(COUNT(Normalised!H4:H17)&lt;14,"incomplete",SUMPRODUCT(Weights!G17:G30,Normalised!H4:H17)/100)</f>
        <v/>
      </c>
    </row>
    <row r="12">
      <c r="A12" s="19" t="inlineStr">
        <is>
          <t>B. Rank (1 = best)</t>
        </is>
      </c>
    </row>
    <row r="13">
      <c r="A13" s="5" t="inlineStr">
        <is>
          <t>Country</t>
        </is>
      </c>
      <c r="B13" s="5" t="inlineStr">
        <is>
          <t>Baseline</t>
        </is>
      </c>
      <c r="C13" s="5" t="inlineStr">
        <is>
          <t>Equal</t>
        </is>
      </c>
      <c r="D13" s="5" t="inlineStr">
        <is>
          <t>Economy-led</t>
        </is>
      </c>
      <c r="E13" s="5" t="inlineStr">
        <is>
          <t>Access-led</t>
        </is>
      </c>
      <c r="F13" s="5" t="inlineStr">
        <is>
          <t>Society-led</t>
        </is>
      </c>
      <c r="G13" s="5" t="inlineStr">
        <is>
          <t>Rank range</t>
        </is>
      </c>
    </row>
    <row r="14">
      <c r="A14" s="6" t="inlineStr">
        <is>
          <t>Argentina</t>
        </is>
      </c>
      <c r="B14" s="8">
        <f>IF(ISNUMBER(B5),RANK(B5,B$5:B$10),"")</f>
        <v/>
      </c>
      <c r="C14" s="8">
        <f>IF(ISNUMBER(C5),RANK(C5,C$5:C$10),"")</f>
        <v/>
      </c>
      <c r="D14" s="8">
        <f>IF(ISNUMBER(D5),RANK(D5,D$5:D$10),"")</f>
        <v/>
      </c>
      <c r="E14" s="8">
        <f>IF(ISNUMBER(E5),RANK(E5,E$5:E$10),"")</f>
        <v/>
      </c>
      <c r="F14" s="8">
        <f>IF(ISNUMBER(F5),RANK(F5,F$5:F$10),"")</f>
        <v/>
      </c>
      <c r="G14" s="8">
        <f>IF(COUNT(B14:F14)=5,MIN(B14:F14)&amp;" to "&amp;MAX(B14:F14),"")</f>
        <v/>
      </c>
    </row>
    <row r="15">
      <c r="A15" s="6" t="inlineStr">
        <is>
          <t>Brazil</t>
        </is>
      </c>
      <c r="B15" s="8">
        <f>IF(ISNUMBER(B6),RANK(B6,B$5:B$10),"")</f>
        <v/>
      </c>
      <c r="C15" s="8">
        <f>IF(ISNUMBER(C6),RANK(C6,C$5:C$10),"")</f>
        <v/>
      </c>
      <c r="D15" s="8">
        <f>IF(ISNUMBER(D6),RANK(D6,D$5:D$10),"")</f>
        <v/>
      </c>
      <c r="E15" s="8">
        <f>IF(ISNUMBER(E6),RANK(E6,E$5:E$10),"")</f>
        <v/>
      </c>
      <c r="F15" s="8">
        <f>IF(ISNUMBER(F6),RANK(F6,F$5:F$10),"")</f>
        <v/>
      </c>
      <c r="G15" s="8">
        <f>IF(COUNT(B15:F15)=5,MIN(B15:F15)&amp;" to "&amp;MAX(B15:F15),"")</f>
        <v/>
      </c>
    </row>
    <row r="16">
      <c r="A16" s="6" t="inlineStr">
        <is>
          <t>Chile</t>
        </is>
      </c>
      <c r="B16" s="8">
        <f>IF(ISNUMBER(B7),RANK(B7,B$5:B$10),"")</f>
        <v/>
      </c>
      <c r="C16" s="8">
        <f>IF(ISNUMBER(C7),RANK(C7,C$5:C$10),"")</f>
        <v/>
      </c>
      <c r="D16" s="8">
        <f>IF(ISNUMBER(D7),RANK(D7,D$5:D$10),"")</f>
        <v/>
      </c>
      <c r="E16" s="8">
        <f>IF(ISNUMBER(E7),RANK(E7,E$5:E$10),"")</f>
        <v/>
      </c>
      <c r="F16" s="8">
        <f>IF(ISNUMBER(F7),RANK(F7,F$5:F$10),"")</f>
        <v/>
      </c>
      <c r="G16" s="8">
        <f>IF(COUNT(B16:F16)=5,MIN(B16:F16)&amp;" to "&amp;MAX(B16:F16),"")</f>
        <v/>
      </c>
    </row>
    <row r="17">
      <c r="A17" s="6" t="inlineStr">
        <is>
          <t>Colombia</t>
        </is>
      </c>
      <c r="B17" s="8">
        <f>IF(ISNUMBER(B8),RANK(B8,B$5:B$10),"")</f>
        <v/>
      </c>
      <c r="C17" s="8">
        <f>IF(ISNUMBER(C8),RANK(C8,C$5:C$10),"")</f>
        <v/>
      </c>
      <c r="D17" s="8">
        <f>IF(ISNUMBER(D8),RANK(D8,D$5:D$10),"")</f>
        <v/>
      </c>
      <c r="E17" s="8">
        <f>IF(ISNUMBER(E8),RANK(E8,E$5:E$10),"")</f>
        <v/>
      </c>
      <c r="F17" s="8">
        <f>IF(ISNUMBER(F8),RANK(F8,F$5:F$10),"")</f>
        <v/>
      </c>
      <c r="G17" s="8">
        <f>IF(COUNT(B17:F17)=5,MIN(B17:F17)&amp;" to "&amp;MAX(B17:F17),"")</f>
        <v/>
      </c>
    </row>
    <row r="18">
      <c r="A18" s="6" t="inlineStr">
        <is>
          <t>Mexico</t>
        </is>
      </c>
      <c r="B18" s="8">
        <f>IF(ISNUMBER(B9),RANK(B9,B$5:B$10),"")</f>
        <v/>
      </c>
      <c r="C18" s="8">
        <f>IF(ISNUMBER(C9),RANK(C9,C$5:C$10),"")</f>
        <v/>
      </c>
      <c r="D18" s="8">
        <f>IF(ISNUMBER(D9),RANK(D9,D$5:D$10),"")</f>
        <v/>
      </c>
      <c r="E18" s="8">
        <f>IF(ISNUMBER(E9),RANK(E9,E$5:E$10),"")</f>
        <v/>
      </c>
      <c r="F18" s="8">
        <f>IF(ISNUMBER(F9),RANK(F9,F$5:F$10),"")</f>
        <v/>
      </c>
      <c r="G18" s="8">
        <f>IF(COUNT(B18:F18)=5,MIN(B18:F18)&amp;" to "&amp;MAX(B18:F18),"")</f>
        <v/>
      </c>
    </row>
    <row r="19">
      <c r="A19" s="6" t="inlineStr">
        <is>
          <t>Uruguay</t>
        </is>
      </c>
      <c r="B19" s="8">
        <f>IF(ISNUMBER(B10),RANK(B10,B$5:B$10),"")</f>
        <v/>
      </c>
      <c r="C19" s="8">
        <f>IF(ISNUMBER(C10),RANK(C10,C$5:C$10),"")</f>
        <v/>
      </c>
      <c r="D19" s="8">
        <f>IF(ISNUMBER(D10),RANK(D10,D$5:D$10),"")</f>
        <v/>
      </c>
      <c r="E19" s="8">
        <f>IF(ISNUMBER(E10),RANK(E10,E$5:E$10),"")</f>
        <v/>
      </c>
      <c r="F19" s="8">
        <f>IF(ISNUMBER(F10),RANK(F10,F$5:F$10),"")</f>
        <v/>
      </c>
      <c r="G19" s="8">
        <f>IF(COUNT(B19:F19)=5,MIN(B19:F19)&amp;" to "&amp;MAX(B19:F19),"")</f>
        <v/>
      </c>
    </row>
    <row r="21">
      <c r="A21" s="19" t="inlineStr">
        <is>
          <t>C. Baseline score by PESTEL dimension (average of the indicator scores)</t>
        </is>
      </c>
    </row>
    <row r="22">
      <c r="A22" s="5" t="inlineStr">
        <is>
          <t>Country</t>
        </is>
      </c>
      <c r="B22" s="5" t="inlineStr">
        <is>
          <t>Political</t>
        </is>
      </c>
      <c r="C22" s="5" t="inlineStr">
        <is>
          <t>Economic</t>
        </is>
      </c>
      <c r="D22" s="5" t="inlineStr">
        <is>
          <t>Social</t>
        </is>
      </c>
      <c r="E22" s="5" t="inlineStr">
        <is>
          <t>Technological</t>
        </is>
      </c>
      <c r="F22" s="5" t="inlineStr">
        <is>
          <t>Environmental</t>
        </is>
      </c>
      <c r="G22" s="5" t="inlineStr">
        <is>
          <t>Legal</t>
        </is>
      </c>
    </row>
    <row r="23">
      <c r="A23" s="6" t="inlineStr">
        <is>
          <t>Argentina</t>
        </is>
      </c>
      <c r="B23" s="13">
        <f>IF(COUNTIFS(Indicators!$B$4:$B$17,"Political",Normalised!C$4:C$17,"&gt;=0")=0,"",SUMIFS(Normalised!C$4:C$17,Indicators!$B$4:$B$17,"Political")/COUNTIFS(Indicators!$B$4:$B$17,"Political",Normalised!C$4:C$17,"&gt;=0"))</f>
        <v/>
      </c>
      <c r="C23" s="13">
        <f>IF(COUNTIFS(Indicators!$B$4:$B$17,"Economic",Normalised!C$4:C$17,"&gt;=0")=0,"",SUMIFS(Normalised!C$4:C$17,Indicators!$B$4:$B$17,"Economic")/COUNTIFS(Indicators!$B$4:$B$17,"Economic",Normalised!C$4:C$17,"&gt;=0"))</f>
        <v/>
      </c>
      <c r="D23" s="13">
        <f>IF(COUNTIFS(Indicators!$B$4:$B$17,"Social",Normalised!C$4:C$17,"&gt;=0")=0,"",SUMIFS(Normalised!C$4:C$17,Indicators!$B$4:$B$17,"Social")/COUNTIFS(Indicators!$B$4:$B$17,"Social",Normalised!C$4:C$17,"&gt;=0"))</f>
        <v/>
      </c>
      <c r="E23" s="13">
        <f>IF(COUNTIFS(Indicators!$B$4:$B$17,"Technological",Normalised!C$4:C$17,"&gt;=0")=0,"",SUMIFS(Normalised!C$4:C$17,Indicators!$B$4:$B$17,"Technological")/COUNTIFS(Indicators!$B$4:$B$17,"Technological",Normalised!C$4:C$17,"&gt;=0"))</f>
        <v/>
      </c>
      <c r="F23" s="13">
        <f>IF(COUNTIFS(Indicators!$B$4:$B$17,"Environmental",Normalised!C$4:C$17,"&gt;=0")=0,"",SUMIFS(Normalised!C$4:C$17,Indicators!$B$4:$B$17,"Environmental")/COUNTIFS(Indicators!$B$4:$B$17,"Environmental",Normalised!C$4:C$17,"&gt;=0"))</f>
        <v/>
      </c>
      <c r="G23" s="13">
        <f>IF(COUNTIFS(Indicators!$B$4:$B$17,"Legal",Normalised!C$4:C$17,"&gt;=0")=0,"",SUMIFS(Normalised!C$4:C$17,Indicators!$B$4:$B$17,"Legal")/COUNTIFS(Indicators!$B$4:$B$17,"Legal",Normalised!C$4:C$17,"&gt;=0"))</f>
        <v/>
      </c>
    </row>
    <row r="24">
      <c r="A24" s="6" t="inlineStr">
        <is>
          <t>Brazil</t>
        </is>
      </c>
      <c r="B24" s="13">
        <f>IF(COUNTIFS(Indicators!$B$4:$B$17,"Political",Normalised!D$4:D$17,"&gt;=0")=0,"",SUMIFS(Normalised!D$4:D$17,Indicators!$B$4:$B$17,"Political")/COUNTIFS(Indicators!$B$4:$B$17,"Political",Normalised!D$4:D$17,"&gt;=0"))</f>
        <v/>
      </c>
      <c r="C24" s="13">
        <f>IF(COUNTIFS(Indicators!$B$4:$B$17,"Economic",Normalised!D$4:D$17,"&gt;=0")=0,"",SUMIFS(Normalised!D$4:D$17,Indicators!$B$4:$B$17,"Economic")/COUNTIFS(Indicators!$B$4:$B$17,"Economic",Normalised!D$4:D$17,"&gt;=0"))</f>
        <v/>
      </c>
      <c r="D24" s="13">
        <f>IF(COUNTIFS(Indicators!$B$4:$B$17,"Social",Normalised!D$4:D$17,"&gt;=0")=0,"",SUMIFS(Normalised!D$4:D$17,Indicators!$B$4:$B$17,"Social")/COUNTIFS(Indicators!$B$4:$B$17,"Social",Normalised!D$4:D$17,"&gt;=0"))</f>
        <v/>
      </c>
      <c r="E24" s="13">
        <f>IF(COUNTIFS(Indicators!$B$4:$B$17,"Technological",Normalised!D$4:D$17,"&gt;=0")=0,"",SUMIFS(Normalised!D$4:D$17,Indicators!$B$4:$B$17,"Technological")/COUNTIFS(Indicators!$B$4:$B$17,"Technological",Normalised!D$4:D$17,"&gt;=0"))</f>
        <v/>
      </c>
      <c r="F24" s="13">
        <f>IF(COUNTIFS(Indicators!$B$4:$B$17,"Environmental",Normalised!D$4:D$17,"&gt;=0")=0,"",SUMIFS(Normalised!D$4:D$17,Indicators!$B$4:$B$17,"Environmental")/COUNTIFS(Indicators!$B$4:$B$17,"Environmental",Normalised!D$4:D$17,"&gt;=0"))</f>
        <v/>
      </c>
      <c r="G24" s="13">
        <f>IF(COUNTIFS(Indicators!$B$4:$B$17,"Legal",Normalised!D$4:D$17,"&gt;=0")=0,"",SUMIFS(Normalised!D$4:D$17,Indicators!$B$4:$B$17,"Legal")/COUNTIFS(Indicators!$B$4:$B$17,"Legal",Normalised!D$4:D$17,"&gt;=0"))</f>
        <v/>
      </c>
    </row>
    <row r="25">
      <c r="A25" s="6" t="inlineStr">
        <is>
          <t>Chile</t>
        </is>
      </c>
      <c r="B25" s="13">
        <f>IF(COUNTIFS(Indicators!$B$4:$B$17,"Political",Normalised!E$4:E$17,"&gt;=0")=0,"",SUMIFS(Normalised!E$4:E$17,Indicators!$B$4:$B$17,"Political")/COUNTIFS(Indicators!$B$4:$B$17,"Political",Normalised!E$4:E$17,"&gt;=0"))</f>
        <v/>
      </c>
      <c r="C25" s="13">
        <f>IF(COUNTIFS(Indicators!$B$4:$B$17,"Economic",Normalised!E$4:E$17,"&gt;=0")=0,"",SUMIFS(Normalised!E$4:E$17,Indicators!$B$4:$B$17,"Economic")/COUNTIFS(Indicators!$B$4:$B$17,"Economic",Normalised!E$4:E$17,"&gt;=0"))</f>
        <v/>
      </c>
      <c r="D25" s="13">
        <f>IF(COUNTIFS(Indicators!$B$4:$B$17,"Social",Normalised!E$4:E$17,"&gt;=0")=0,"",SUMIFS(Normalised!E$4:E$17,Indicators!$B$4:$B$17,"Social")/COUNTIFS(Indicators!$B$4:$B$17,"Social",Normalised!E$4:E$17,"&gt;=0"))</f>
        <v/>
      </c>
      <c r="E25" s="13">
        <f>IF(COUNTIFS(Indicators!$B$4:$B$17,"Technological",Normalised!E$4:E$17,"&gt;=0")=0,"",SUMIFS(Normalised!E$4:E$17,Indicators!$B$4:$B$17,"Technological")/COUNTIFS(Indicators!$B$4:$B$17,"Technological",Normalised!E$4:E$17,"&gt;=0"))</f>
        <v/>
      </c>
      <c r="F25" s="13">
        <f>IF(COUNTIFS(Indicators!$B$4:$B$17,"Environmental",Normalised!E$4:E$17,"&gt;=0")=0,"",SUMIFS(Normalised!E$4:E$17,Indicators!$B$4:$B$17,"Environmental")/COUNTIFS(Indicators!$B$4:$B$17,"Environmental",Normalised!E$4:E$17,"&gt;=0"))</f>
        <v/>
      </c>
      <c r="G25" s="13">
        <f>IF(COUNTIFS(Indicators!$B$4:$B$17,"Legal",Normalised!E$4:E$17,"&gt;=0")=0,"",SUMIFS(Normalised!E$4:E$17,Indicators!$B$4:$B$17,"Legal")/COUNTIFS(Indicators!$B$4:$B$17,"Legal",Normalised!E$4:E$17,"&gt;=0"))</f>
        <v/>
      </c>
    </row>
    <row r="26">
      <c r="A26" s="6" t="inlineStr">
        <is>
          <t>Colombia</t>
        </is>
      </c>
      <c r="B26" s="13">
        <f>IF(COUNTIFS(Indicators!$B$4:$B$17,"Political",Normalised!F$4:F$17,"&gt;=0")=0,"",SUMIFS(Normalised!F$4:F$17,Indicators!$B$4:$B$17,"Political")/COUNTIFS(Indicators!$B$4:$B$17,"Political",Normalised!F$4:F$17,"&gt;=0"))</f>
        <v/>
      </c>
      <c r="C26" s="13">
        <f>IF(COUNTIFS(Indicators!$B$4:$B$17,"Economic",Normalised!F$4:F$17,"&gt;=0")=0,"",SUMIFS(Normalised!F$4:F$17,Indicators!$B$4:$B$17,"Economic")/COUNTIFS(Indicators!$B$4:$B$17,"Economic",Normalised!F$4:F$17,"&gt;=0"))</f>
        <v/>
      </c>
      <c r="D26" s="13">
        <f>IF(COUNTIFS(Indicators!$B$4:$B$17,"Social",Normalised!F$4:F$17,"&gt;=0")=0,"",SUMIFS(Normalised!F$4:F$17,Indicators!$B$4:$B$17,"Social")/COUNTIFS(Indicators!$B$4:$B$17,"Social",Normalised!F$4:F$17,"&gt;=0"))</f>
        <v/>
      </c>
      <c r="E26" s="13">
        <f>IF(COUNTIFS(Indicators!$B$4:$B$17,"Technological",Normalised!F$4:F$17,"&gt;=0")=0,"",SUMIFS(Normalised!F$4:F$17,Indicators!$B$4:$B$17,"Technological")/COUNTIFS(Indicators!$B$4:$B$17,"Technological",Normalised!F$4:F$17,"&gt;=0"))</f>
        <v/>
      </c>
      <c r="F26" s="13">
        <f>IF(COUNTIFS(Indicators!$B$4:$B$17,"Environmental",Normalised!F$4:F$17,"&gt;=0")=0,"",SUMIFS(Normalised!F$4:F$17,Indicators!$B$4:$B$17,"Environmental")/COUNTIFS(Indicators!$B$4:$B$17,"Environmental",Normalised!F$4:F$17,"&gt;=0"))</f>
        <v/>
      </c>
      <c r="G26" s="13">
        <f>IF(COUNTIFS(Indicators!$B$4:$B$17,"Legal",Normalised!F$4:F$17,"&gt;=0")=0,"",SUMIFS(Normalised!F$4:F$17,Indicators!$B$4:$B$17,"Legal")/COUNTIFS(Indicators!$B$4:$B$17,"Legal",Normalised!F$4:F$17,"&gt;=0"))</f>
        <v/>
      </c>
    </row>
    <row r="27">
      <c r="A27" s="6" t="inlineStr">
        <is>
          <t>Mexico</t>
        </is>
      </c>
      <c r="B27" s="13">
        <f>IF(COUNTIFS(Indicators!$B$4:$B$17,"Political",Normalised!G$4:G$17,"&gt;=0")=0,"",SUMIFS(Normalised!G$4:G$17,Indicators!$B$4:$B$17,"Political")/COUNTIFS(Indicators!$B$4:$B$17,"Political",Normalised!G$4:G$17,"&gt;=0"))</f>
        <v/>
      </c>
      <c r="C27" s="13">
        <f>IF(COUNTIFS(Indicators!$B$4:$B$17,"Economic",Normalised!G$4:G$17,"&gt;=0")=0,"",SUMIFS(Normalised!G$4:G$17,Indicators!$B$4:$B$17,"Economic")/COUNTIFS(Indicators!$B$4:$B$17,"Economic",Normalised!G$4:G$17,"&gt;=0"))</f>
        <v/>
      </c>
      <c r="D27" s="13">
        <f>IF(COUNTIFS(Indicators!$B$4:$B$17,"Social",Normalised!G$4:G$17,"&gt;=0")=0,"",SUMIFS(Normalised!G$4:G$17,Indicators!$B$4:$B$17,"Social")/COUNTIFS(Indicators!$B$4:$B$17,"Social",Normalised!G$4:G$17,"&gt;=0"))</f>
        <v/>
      </c>
      <c r="E27" s="13">
        <f>IF(COUNTIFS(Indicators!$B$4:$B$17,"Technological",Normalised!G$4:G$17,"&gt;=0")=0,"",SUMIFS(Normalised!G$4:G$17,Indicators!$B$4:$B$17,"Technological")/COUNTIFS(Indicators!$B$4:$B$17,"Technological",Normalised!G$4:G$17,"&gt;=0"))</f>
        <v/>
      </c>
      <c r="F27" s="13">
        <f>IF(COUNTIFS(Indicators!$B$4:$B$17,"Environmental",Normalised!G$4:G$17,"&gt;=0")=0,"",SUMIFS(Normalised!G$4:G$17,Indicators!$B$4:$B$17,"Environmental")/COUNTIFS(Indicators!$B$4:$B$17,"Environmental",Normalised!G$4:G$17,"&gt;=0"))</f>
        <v/>
      </c>
      <c r="G27" s="13">
        <f>IF(COUNTIFS(Indicators!$B$4:$B$17,"Legal",Normalised!G$4:G$17,"&gt;=0")=0,"",SUMIFS(Normalised!G$4:G$17,Indicators!$B$4:$B$17,"Legal")/COUNTIFS(Indicators!$B$4:$B$17,"Legal",Normalised!G$4:G$17,"&gt;=0"))</f>
        <v/>
      </c>
    </row>
    <row r="28">
      <c r="A28" s="6" t="inlineStr">
        <is>
          <t>Uruguay</t>
        </is>
      </c>
      <c r="B28" s="13">
        <f>IF(COUNTIFS(Indicators!$B$4:$B$17,"Political",Normalised!H$4:H$17,"&gt;=0")=0,"",SUMIFS(Normalised!H$4:H$17,Indicators!$B$4:$B$17,"Political")/COUNTIFS(Indicators!$B$4:$B$17,"Political",Normalised!H$4:H$17,"&gt;=0"))</f>
        <v/>
      </c>
      <c r="C28" s="13">
        <f>IF(COUNTIFS(Indicators!$B$4:$B$17,"Economic",Normalised!H$4:H$17,"&gt;=0")=0,"",SUMIFS(Normalised!H$4:H$17,Indicators!$B$4:$B$17,"Economic")/COUNTIFS(Indicators!$B$4:$B$17,"Economic",Normalised!H$4:H$17,"&gt;=0"))</f>
        <v/>
      </c>
      <c r="D28" s="13">
        <f>IF(COUNTIFS(Indicators!$B$4:$B$17,"Social",Normalised!H$4:H$17,"&gt;=0")=0,"",SUMIFS(Normalised!H$4:H$17,Indicators!$B$4:$B$17,"Social")/COUNTIFS(Indicators!$B$4:$B$17,"Social",Normalised!H$4:H$17,"&gt;=0"))</f>
        <v/>
      </c>
      <c r="E28" s="13">
        <f>IF(COUNTIFS(Indicators!$B$4:$B$17,"Technological",Normalised!H$4:H$17,"&gt;=0")=0,"",SUMIFS(Normalised!H$4:H$17,Indicators!$B$4:$B$17,"Technological")/COUNTIFS(Indicators!$B$4:$B$17,"Technological",Normalised!H$4:H$17,"&gt;=0"))</f>
        <v/>
      </c>
      <c r="F28" s="13">
        <f>IF(COUNTIFS(Indicators!$B$4:$B$17,"Environmental",Normalised!H$4:H$17,"&gt;=0")=0,"",SUMIFS(Normalised!H$4:H$17,Indicators!$B$4:$B$17,"Environmental")/COUNTIFS(Indicators!$B$4:$B$17,"Environmental",Normalised!H$4:H$17,"&gt;=0"))</f>
        <v/>
      </c>
      <c r="G28" s="13">
        <f>IF(COUNTIFS(Indicators!$B$4:$B$17,"Legal",Normalised!H$4:H$17,"&gt;=0")=0,"",SUMIFS(Normalised!H$4:H$17,Indicators!$B$4:$B$17,"Legal")/COUNTIFS(Indicators!$B$4:$B$17,"Legal",Normalised!H$4:H$17,"&gt;=0"))</f>
        <v/>
      </c>
    </row>
    <row r="30">
      <c r="A30" s="19" t="inlineStr">
        <is>
          <t>D. Baseline weights with T-scores (second normalisation)</t>
        </is>
      </c>
    </row>
    <row r="31">
      <c r="A31" s="5" t="inlineStr">
        <is>
          <t>Country</t>
        </is>
      </c>
      <c r="B31" s="5" t="inlineStr">
        <is>
          <t>Weighted T-score</t>
        </is>
      </c>
      <c r="C31" s="5" t="inlineStr">
        <is>
          <t>Rank</t>
        </is>
      </c>
    </row>
    <row r="32">
      <c r="A32" s="6" t="inlineStr">
        <is>
          <t>Argentina</t>
        </is>
      </c>
      <c r="B32" s="13">
        <f>IF(COUNT('T-scores'!C4:C17)&lt;14,"incomplete",SUMPRODUCT(Weights!C17:C30,'T-scores'!C4:C17)/100)</f>
        <v/>
      </c>
      <c r="C32" s="8">
        <f>IF(ISNUMBER(B32),RANK(B32,B$32:B$37),"")</f>
        <v/>
      </c>
    </row>
    <row r="33">
      <c r="A33" s="6" t="inlineStr">
        <is>
          <t>Brazil</t>
        </is>
      </c>
      <c r="B33" s="13">
        <f>IF(COUNT('T-scores'!D4:D17)&lt;14,"incomplete",SUMPRODUCT(Weights!C17:C30,'T-scores'!D4:D17)/100)</f>
        <v/>
      </c>
      <c r="C33" s="8">
        <f>IF(ISNUMBER(B33),RANK(B33,B$32:B$37),"")</f>
        <v/>
      </c>
    </row>
    <row r="34">
      <c r="A34" s="6" t="inlineStr">
        <is>
          <t>Chile</t>
        </is>
      </c>
      <c r="B34" s="13">
        <f>IF(COUNT('T-scores'!E4:E17)&lt;14,"incomplete",SUMPRODUCT(Weights!C17:C30,'T-scores'!E4:E17)/100)</f>
        <v/>
      </c>
      <c r="C34" s="8">
        <f>IF(ISNUMBER(B34),RANK(B34,B$32:B$37),"")</f>
        <v/>
      </c>
    </row>
    <row r="35">
      <c r="A35" s="6" t="inlineStr">
        <is>
          <t>Colombia</t>
        </is>
      </c>
      <c r="B35" s="13">
        <f>IF(COUNT('T-scores'!F4:F17)&lt;14,"incomplete",SUMPRODUCT(Weights!C17:C30,'T-scores'!F4:F17)/100)</f>
        <v/>
      </c>
      <c r="C35" s="8">
        <f>IF(ISNUMBER(B35),RANK(B35,B$32:B$37),"")</f>
        <v/>
      </c>
    </row>
    <row r="36">
      <c r="A36" s="6" t="inlineStr">
        <is>
          <t>Mexico</t>
        </is>
      </c>
      <c r="B36" s="13">
        <f>IF(COUNT('T-scores'!G4:G17)&lt;14,"incomplete",SUMPRODUCT(Weights!C17:C30,'T-scores'!G4:G17)/100)</f>
        <v/>
      </c>
      <c r="C36" s="8">
        <f>IF(ISNUMBER(B36),RANK(B36,B$32:B$37),"")</f>
        <v/>
      </c>
    </row>
    <row r="37">
      <c r="A37" s="6" t="inlineStr">
        <is>
          <t>Uruguay</t>
        </is>
      </c>
      <c r="B37" s="13">
        <f>IF(COUNT('T-scores'!H4:H17)&lt;14,"incomplete",SUMPRODUCT(Weights!C17:C30,'T-scores'!H4:H17)/100)</f>
        <v/>
      </c>
      <c r="C37" s="8">
        <f>IF(ISNUMBER(B37),RANK(B37,B$32:B$37),"")</f>
        <v/>
      </c>
    </row>
  </sheetData>
  <conditionalFormatting sqref="B14:F19">
    <cfRule type="expression" priority="1" dxfId="0">
      <formula>B14=1</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9" customWidth="1" min="1" max="1"/>
    <col width="38" customWidth="1" min="2" max="2"/>
    <col width="34" customWidth="1" min="3" max="3"/>
    <col width="34" customWidth="1" min="4" max="4"/>
    <col width="34" customWidth="1" min="5" max="5"/>
  </cols>
  <sheetData>
    <row r="1">
      <c r="A1" s="1" t="inlineStr">
        <is>
          <t>Scoring rubrics for qualitative indicators (1 to 5)</t>
        </is>
      </c>
    </row>
    <row r="3">
      <c r="A3" s="5" t="inlineStr">
        <is>
          <t>Rubric</t>
        </is>
      </c>
      <c r="B3" s="5" t="inlineStr">
        <is>
          <t>Indicator</t>
        </is>
      </c>
      <c r="C3" s="5" t="inlineStr">
        <is>
          <t>1</t>
        </is>
      </c>
      <c r="D3" s="5" t="inlineStr">
        <is>
          <t>3</t>
        </is>
      </c>
      <c r="E3" s="5" t="inlineStr">
        <is>
          <t>5</t>
        </is>
      </c>
    </row>
    <row r="4" ht="40" customHeight="1">
      <c r="A4" s="6" t="inlineStr">
        <is>
          <t>A</t>
        </is>
      </c>
      <c r="B4" s="4" t="inlineStr">
        <is>
          <t>Trade agreement between the EU and the country</t>
        </is>
      </c>
      <c r="C4" s="4" t="inlineStr">
        <is>
          <t>No agreement; full tariffs and no negotiation</t>
        </is>
      </c>
      <c r="D4" s="4" t="inlineStr">
        <is>
          <t>Agreement under negotiation, or partial or interim agreement</t>
        </is>
      </c>
      <c r="E4" s="4" t="inlineStr">
        <is>
          <t>Agreement in force covering coffee, tariff at or near zero</t>
        </is>
      </c>
    </row>
    <row r="5" ht="40" customHeight="1">
      <c r="A5" s="6" t="inlineStr">
        <is>
          <t>B</t>
        </is>
      </c>
      <c r="B5" s="4" t="inlineStr">
        <is>
          <t>Cafe culture</t>
        </is>
      </c>
      <c r="C5" s="4" t="inlineStr">
        <is>
          <t>Coffee mainly consumed at home (instant, filter); few cafes</t>
        </is>
      </c>
      <c r="D5" s="4" t="inlineStr">
        <is>
          <t>Established cafe scene in the large cities only</t>
        </is>
      </c>
      <c r="E5" s="4" t="inlineStr">
        <is>
          <t>Strong cafe culture in several cities; coffee out of home is a habit</t>
        </is>
      </c>
    </row>
    <row r="6" ht="40" customHeight="1">
      <c r="A6" s="6" t="inlineStr">
        <is>
          <t>C</t>
        </is>
      </c>
      <c r="B6" s="4" t="inlineStr">
        <is>
          <t>Demand for certified and sustainable coffee</t>
        </is>
      </c>
      <c r="C6" s="4" t="inlineStr">
        <is>
          <t>No visible demand; certifications unknown to buyers</t>
        </is>
      </c>
      <c r="D6" s="4" t="inlineStr">
        <is>
          <t>Niche demand in premium retail and hotels</t>
        </is>
      </c>
      <c r="E6" s="4" t="inlineStr">
        <is>
          <t>Mainstream expectation among premium buyers and hotel groups</t>
        </is>
      </c>
    </row>
    <row r="7" ht="40" customHeight="1">
      <c r="A7" s="6" t="inlineStr">
        <is>
          <t>D</t>
        </is>
      </c>
      <c r="B7" s="4" t="inlineStr">
        <is>
          <t>Product, labelling and certification requirements</t>
        </is>
      </c>
      <c r="C7" s="4" t="inlineStr">
        <is>
          <t>Many requirements; local registration or testing needed</t>
        </is>
      </c>
      <c r="D7" s="4" t="inlineStr">
        <is>
          <t>Moderate requirements; some adaptation of labels</t>
        </is>
      </c>
      <c r="E7" s="4" t="inlineStr">
        <is>
          <t>Few requirements; EU labels and certificates accepted</t>
        </is>
      </c>
    </row>
    <row r="9">
      <c r="A9" s="2" t="inlineStr">
        <is>
          <t>Scores 2 and 4 are used for cases between the anchors. Two team members score independently, then agree; write the reason in the source cell.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2026-10-13T15:51:40Z</dcterms:created>
  <dcterms:modified xmlns:dcterms="http://purl.org/dc/terms/" xmlns:xsi="http://www.w3.org/2001/XMLSchema-instance" xsi:type="dcterms:W3CDTF">2026-10-13T15:51:40Z</dcterms:modified>
</cp:coreProperties>
</file>