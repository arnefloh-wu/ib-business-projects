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Weights" sheetId="2" state="visible" r:id="rId2"/>
    <sheet xmlns:r="http://schemas.openxmlformats.org/officeDocument/2006/relationships" name="Indicators" sheetId="3" state="visible" r:id="rId3"/>
    <sheet xmlns:r="http://schemas.openxmlformats.org/officeDocument/2006/relationships" name="Data" sheetId="4" state="visible" r:id="rId4"/>
    <sheet xmlns:r="http://schemas.openxmlformats.org/officeDocument/2006/relationships" name="Normalised" sheetId="5" state="visible" r:id="rId5"/>
    <sheet xmlns:r="http://schemas.openxmlformats.org/officeDocument/2006/relationships" name="T-scores" sheetId="6" state="visible" r:id="rId6"/>
    <sheet xmlns:r="http://schemas.openxmlformats.org/officeDocument/2006/relationships" name="Scores" sheetId="7" state="visible" r:id="rId7"/>
    <sheet xmlns:r="http://schemas.openxmlformats.org/officeDocument/2006/relationships" name="Rubrics" sheetId="8" state="visible" r:id="rId8"/>
  </sheets>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Verdana"/>
      <b val="1"/>
      <color rgb="00002060"/>
      <sz val="14"/>
    </font>
    <font>
      <name val="Verdana"/>
      <color rgb="00595959"/>
      <sz val="9"/>
    </font>
    <font>
      <name val="Verdana"/>
      <b val="1"/>
      <sz val="9"/>
    </font>
    <font>
      <name val="Verdana"/>
      <sz val="9"/>
    </font>
    <font>
      <name val="Verdana"/>
      <b val="1"/>
      <color rgb="00FFFFFF"/>
      <sz val="9"/>
    </font>
    <font>
      <name val="Verdana"/>
      <b val="1"/>
      <color rgb="00002060"/>
      <sz val="10"/>
    </font>
    <font>
      <name val="Verdana"/>
      <color rgb="000000FF"/>
      <sz val="9"/>
    </font>
  </fonts>
  <fills count="6">
    <fill>
      <patternFill/>
    </fill>
    <fill>
      <patternFill patternType="gray125"/>
    </fill>
    <fill>
      <patternFill patternType="solid">
        <fgColor rgb="00F2F2F2"/>
      </patternFill>
    </fill>
    <fill>
      <patternFill patternType="solid">
        <fgColor rgb="00002060"/>
      </patternFill>
    </fill>
    <fill>
      <patternFill patternType="solid">
        <fgColor rgb="00D9D9D9"/>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top" wrapText="1"/>
    </xf>
    <xf numFmtId="0" fontId="4" fillId="0" borderId="1" applyAlignment="1" pivotButton="0" quotePrefix="0" xfId="0">
      <alignment vertical="top" wrapText="1"/>
    </xf>
    <xf numFmtId="0" fontId="5" fillId="3" borderId="1" applyAlignment="1" pivotButton="0" quotePrefix="0" xfId="0">
      <alignment horizontal="center" vertical="top" wrapText="1"/>
    </xf>
    <xf numFmtId="0" fontId="3" fillId="0" borderId="1" applyAlignment="1" pivotButton="0" quotePrefix="0" xfId="0">
      <alignment vertical="top" wrapText="1"/>
    </xf>
    <xf numFmtId="0" fontId="4" fillId="4" borderId="1" applyAlignment="1" pivotButton="0" quotePrefix="0" xfId="0">
      <alignment horizontal="center" vertical="top" wrapText="1"/>
    </xf>
    <xf numFmtId="0" fontId="4" fillId="2" borderId="1" applyAlignment="1" pivotButton="0" quotePrefix="0" xfId="0">
      <alignment horizontal="center" vertical="top" wrapText="1"/>
    </xf>
    <xf numFmtId="0" fontId="3" fillId="2" borderId="1" applyAlignment="1" pivotButton="0" quotePrefix="0" xfId="0">
      <alignment horizontal="center" vertical="top" wrapText="1"/>
    </xf>
    <xf numFmtId="0" fontId="2" fillId="0" borderId="0" applyAlignment="1" pivotButton="0" quotePrefix="0" xfId="0">
      <alignment vertical="top" wrapText="1"/>
    </xf>
    <xf numFmtId="0" fontId="6" fillId="0" borderId="0" pivotButton="0" quotePrefix="0" xfId="0"/>
    <xf numFmtId="0" fontId="4" fillId="2" borderId="1" applyAlignment="1" pivotButton="0" quotePrefix="0" xfId="0">
      <alignment vertical="top" wrapText="1"/>
    </xf>
    <xf numFmtId="164" fontId="4" fillId="2" borderId="1" applyAlignment="1" pivotButton="0" quotePrefix="0" xfId="0">
      <alignment horizontal="center" vertical="top" wrapText="1"/>
    </xf>
    <xf numFmtId="164" fontId="3" fillId="2" borderId="1" applyAlignment="1" pivotButton="0" quotePrefix="0" xfId="0">
      <alignment horizontal="center" vertical="top" wrapText="1"/>
    </xf>
    <xf numFmtId="0" fontId="4" fillId="4" borderId="1" applyAlignment="1" pivotButton="0" quotePrefix="0" xfId="0">
      <alignment vertical="top" wrapText="1"/>
    </xf>
    <xf numFmtId="0" fontId="0" fillId="3" borderId="0" pivotButton="0" quotePrefix="0" xfId="0"/>
    <xf numFmtId="0" fontId="7" fillId="5" borderId="1" applyAlignment="1" applyProtection="1" pivotButton="0" quotePrefix="0" xfId="0">
      <alignment horizontal="center" vertical="top" wrapText="1"/>
      <protection locked="0" hidden="0"/>
    </xf>
    <xf numFmtId="0" fontId="7" fillId="5" borderId="1" applyAlignment="1" applyProtection="1" pivotButton="0" quotePrefix="0" xfId="0">
      <alignment vertical="top" wrapText="1"/>
      <protection locked="0" hidden="0"/>
    </xf>
    <xf numFmtId="0" fontId="6" fillId="0" borderId="0" applyAlignment="1" pivotButton="0" quotePrefix="0" xfId="0">
      <alignment vertical="top" wrapText="1"/>
    </xf>
  </cellXfs>
  <cellStyles count="1">
    <cellStyle name="Normal" xfId="0" builtinId="0" hidden="0"/>
  </cellStyles>
  <dxfs count="1">
    <dxf>
      <fill>
        <patternFill patternType="solid">
          <bgColor rgb="00C6E0B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showGridLines="0" workbookViewId="0">
      <selection activeCell="A1" sqref="A1"/>
    </sheetView>
  </sheetViews>
  <sheetFormatPr baseColWidth="8" defaultRowHeight="15"/>
  <cols>
    <col width="26" customWidth="1" min="1" max="1"/>
    <col width="110" customWidth="1" min="2" max="2"/>
  </cols>
  <sheetData>
    <row r="1">
      <c r="A1" s="1" t="inlineStr">
        <is>
          <t>Country scoring model: Julius Meinl, Latin America</t>
        </is>
      </c>
    </row>
    <row r="2">
      <c r="A2" s="2" t="inlineStr">
        <is>
          <t>Business Projects WT 2026/27, Midterm Part A. One workbook for all six groups.</t>
        </is>
      </c>
    </row>
    <row r="4" ht="40" customHeight="1">
      <c r="A4" s="3" t="inlineStr">
        <is>
          <t>Purpose</t>
        </is>
      </c>
      <c r="B4" s="4" t="inlineStr">
        <is>
          <t>All groups score the same six countries with the same criteria and the same weights. Each group collects the data of its allocated country. The workbook turns the data into scores and ranks.</t>
        </is>
      </c>
    </row>
    <row r="5" ht="40" customHeight="1">
      <c r="A5" s="3" t="inlineStr">
        <is>
          <t>Your country</t>
        </is>
      </c>
      <c r="B5" s="4" t="inlineStr">
        <is>
          <t>Group 1: Argentina. Group 2: Chile. Group 3: Mexico. Group 4: Colombia. Group 5: Uruguay. Group 6: Brazil.</t>
        </is>
      </c>
    </row>
    <row r="6" ht="40" customHeight="1">
      <c r="A6" s="3" t="inlineStr">
        <is>
          <t>What you enter</t>
        </is>
      </c>
      <c r="B6" s="4" t="inlineStr">
        <is>
          <t>Only the numbers: on the Data sheet, in the yellow cells of your own country, enter the value of each indicator (rubric indicators: a whole number from 1 to 5). Next to each value, note the year and the source link for documentation. Everything else (normalisation, weights, scores, ranks, robustness) is calculated by the sheet. Only the yellow cells can be edited; the other sheets are locked. Do not type in other groups' columns.</t>
        </is>
      </c>
    </row>
    <row r="7" ht="40" customHeight="1">
      <c r="A7" s="3" t="inlineStr">
        <is>
          <t>How the criteria are built</t>
        </is>
      </c>
      <c r="B7" s="4" t="inlineStr">
        <is>
          <t>The 45 indicators are grouped by the six PESTEL dimensions (Political, Economic, Social, Technological, Environmental, Legal). Julius Meinl's six dimensions are shown as a second label.</t>
        </is>
      </c>
    </row>
    <row r="8" ht="40" customHeight="1">
      <c r="A8" s="3" t="inlineStr">
        <is>
          <t>How the weights work</t>
        </is>
      </c>
      <c r="B8" s="4" t="inlineStr">
        <is>
          <t>The instructor has fixed the weight of each PESTEL dimension upfront (sheet Weights). The weight of a dimension is split equally among its indicators. Groups cannot change the weights.</t>
        </is>
      </c>
    </row>
    <row r="9" ht="40" customHeight="1">
      <c r="A9" s="3" t="inlineStr">
        <is>
          <t>Normalisation is automatic</t>
        </is>
      </c>
      <c r="B9" s="4" t="inlineStr">
        <is>
          <t>You do not normalise anything yourself. As soon as the data of all six countries are entered, the sheet rescales every indicator across the six countries: the Normalised sheet gives min-max scores from 0 to 100 and the T-scores sheet gives 50 + 10 x z-score (50 = average of the six countries). The direction of each indicator (higher or lower is better) is applied automatically.</t>
        </is>
      </c>
    </row>
    <row r="10" ht="40" customHeight="1">
      <c r="A10" s="3" t="inlineStr">
        <is>
          <t>How scores are calculated</t>
        </is>
      </c>
      <c r="B10" s="4" t="inlineStr">
        <is>
          <t>The score of a country is the weighted sum of its normalised indicator scores (sheet Scores). All results update by themselves when a value changes.</t>
        </is>
      </c>
    </row>
    <row r="11" ht="40" customHeight="1">
      <c r="A11" s="3" t="inlineStr">
        <is>
          <t>Robustness</t>
        </is>
      </c>
      <c r="B11" s="4" t="inlineStr">
        <is>
          <t>The Scores sheet recalculates the ranking with four alternative weight sets. Use it for Step 7 of the student brief.</t>
        </is>
      </c>
    </row>
    <row r="12" ht="40" customHeight="1">
      <c r="A12" s="3" t="inlineStr">
        <is>
          <t>Colour code</t>
        </is>
      </c>
      <c r="B12" s="4" t="inlineStr">
        <is>
          <t>Yellow with blue text: input. Grey: fixed by the instructor. White or light grey with black text: formula.</t>
        </is>
      </c>
    </row>
    <row r="13" ht="40" customHeight="1">
      <c r="A13" s="3" t="inlineStr">
        <is>
          <t>Quality rules</t>
        </is>
      </c>
      <c r="B13" s="4" t="inlineStr">
        <is>
          <t>Use the latest year available. Use the unit given. Record the year and a source link for every value. Qualitative scores use the rubrics on the Rubrics sheet; write the reason in the source cell. A country with a missing value shows "incomplete" instead of a score.</t>
        </is>
      </c>
    </row>
    <row r="14" ht="40" customHeight="1">
      <c r="A14" s="3" t="inlineStr">
        <is>
          <t>Questions</t>
        </is>
      </c>
      <c r="B14" s="4" t="inlineStr">
        <is>
          <t>arne.floh@wu.ac.at</t>
        </is>
      </c>
    </row>
  </sheetData>
  <sheetProtection selectLockedCells="0" selectUnlockedCells="0" sheet="1" objects="0" insertRows="1" insertHyperlinks="1" autoFilter="1" scenarios="0" formatColumns="0" deleteColumns="1" insertColumns="1" pivotTables="1" deleteRows="1" formatCells="1" formatRows="0" sort="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62"/>
  <sheetViews>
    <sheetView showGridLines="0" workbookViewId="0">
      <selection activeCell="A1" sqref="A1"/>
    </sheetView>
  </sheetViews>
  <sheetFormatPr baseColWidth="8" defaultRowHeight="15"/>
  <cols>
    <col width="26" customWidth="1" min="1" max="1"/>
    <col width="48" customWidth="1" min="2" max="2"/>
    <col width="14" customWidth="1" min="3" max="3"/>
    <col width="14" customWidth="1" min="4" max="4"/>
    <col width="14" customWidth="1" min="5" max="5"/>
    <col width="14" customWidth="1" min="6" max="6"/>
    <col width="14" customWidth="1" min="7" max="7"/>
  </cols>
  <sheetData>
    <row r="1">
      <c r="A1" s="1" t="inlineStr">
        <is>
          <t>Weights (set by the instructor, do not change)</t>
        </is>
      </c>
    </row>
    <row r="3">
      <c r="A3" s="5" t="inlineStr">
        <is>
          <t>PESTEL dimension</t>
        </is>
      </c>
      <c r="B3" s="5" t="inlineStr">
        <is>
          <t>Baseline</t>
        </is>
      </c>
      <c r="C3" s="5" t="inlineStr">
        <is>
          <t>Equal</t>
        </is>
      </c>
      <c r="D3" s="5" t="inlineStr">
        <is>
          <t>Economy-led</t>
        </is>
      </c>
      <c r="E3" s="5" t="inlineStr">
        <is>
          <t>Access-led</t>
        </is>
      </c>
      <c r="F3" s="5" t="inlineStr">
        <is>
          <t>Society-led</t>
        </is>
      </c>
      <c r="G3" s="5" t="inlineStr">
        <is>
          <t>Indicators in dimension</t>
        </is>
      </c>
    </row>
    <row r="4">
      <c r="A4" s="6" t="inlineStr">
        <is>
          <t>Political</t>
        </is>
      </c>
      <c r="B4" s="7" t="n">
        <v>15</v>
      </c>
      <c r="C4" s="7" t="n">
        <v>17</v>
      </c>
      <c r="D4" s="7" t="n">
        <v>10</v>
      </c>
      <c r="E4" s="7" t="n">
        <v>20</v>
      </c>
      <c r="F4" s="7" t="n">
        <v>10</v>
      </c>
      <c r="G4" s="8">
        <f>COUNTIF(Indicators!$B$4:$B$48,A4)</f>
        <v/>
      </c>
    </row>
    <row r="5">
      <c r="A5" s="6" t="inlineStr">
        <is>
          <t>Economic</t>
        </is>
      </c>
      <c r="B5" s="7" t="n">
        <v>25</v>
      </c>
      <c r="C5" s="7" t="n">
        <v>17</v>
      </c>
      <c r="D5" s="7" t="n">
        <v>40</v>
      </c>
      <c r="E5" s="7" t="n">
        <v>15</v>
      </c>
      <c r="F5" s="7" t="n">
        <v>20</v>
      </c>
      <c r="G5" s="8">
        <f>COUNTIF(Indicators!$B$4:$B$48,A5)</f>
        <v/>
      </c>
    </row>
    <row r="6">
      <c r="A6" s="6" t="inlineStr">
        <is>
          <t>Social</t>
        </is>
      </c>
      <c r="B6" s="7" t="n">
        <v>25</v>
      </c>
      <c r="C6" s="7" t="n">
        <v>17</v>
      </c>
      <c r="D6" s="7" t="n">
        <v>20</v>
      </c>
      <c r="E6" s="7" t="n">
        <v>15</v>
      </c>
      <c r="F6" s="7" t="n">
        <v>40</v>
      </c>
      <c r="G6" s="8">
        <f>COUNTIF(Indicators!$B$4:$B$48,A6)</f>
        <v/>
      </c>
    </row>
    <row r="7">
      <c r="A7" s="6" t="inlineStr">
        <is>
          <t>Technological</t>
        </is>
      </c>
      <c r="B7" s="7" t="n">
        <v>10</v>
      </c>
      <c r="C7" s="7" t="n">
        <v>17</v>
      </c>
      <c r="D7" s="7" t="n">
        <v>10</v>
      </c>
      <c r="E7" s="7" t="n">
        <v>5</v>
      </c>
      <c r="F7" s="7" t="n">
        <v>10</v>
      </c>
      <c r="G7" s="8">
        <f>COUNTIF(Indicators!$B$4:$B$48,A7)</f>
        <v/>
      </c>
    </row>
    <row r="8">
      <c r="A8" s="6" t="inlineStr">
        <is>
          <t>Environmental</t>
        </is>
      </c>
      <c r="B8" s="7" t="n">
        <v>5</v>
      </c>
      <c r="C8" s="7" t="n">
        <v>16</v>
      </c>
      <c r="D8" s="7" t="n">
        <v>5</v>
      </c>
      <c r="E8" s="7" t="n">
        <v>5</v>
      </c>
      <c r="F8" s="7" t="n">
        <v>5</v>
      </c>
      <c r="G8" s="8">
        <f>COUNTIF(Indicators!$B$4:$B$48,A8)</f>
        <v/>
      </c>
    </row>
    <row r="9">
      <c r="A9" s="6" t="inlineStr">
        <is>
          <t>Legal</t>
        </is>
      </c>
      <c r="B9" s="7" t="n">
        <v>20</v>
      </c>
      <c r="C9" s="7" t="n">
        <v>16</v>
      </c>
      <c r="D9" s="7" t="n">
        <v>15</v>
      </c>
      <c r="E9" s="7" t="n">
        <v>40</v>
      </c>
      <c r="F9" s="7" t="n">
        <v>15</v>
      </c>
      <c r="G9" s="8">
        <f>COUNTIF(Indicators!$B$4:$B$48,A9)</f>
        <v/>
      </c>
    </row>
    <row r="10">
      <c r="A10" s="6" t="inlineStr">
        <is>
          <t>Sum (must be 100)</t>
        </is>
      </c>
      <c r="B10" s="9">
        <f>SUM(B4:B9)</f>
        <v/>
      </c>
      <c r="C10" s="9">
        <f>SUM(C4:C9)</f>
        <v/>
      </c>
      <c r="D10" s="9">
        <f>SUM(D4:D9)</f>
        <v/>
      </c>
      <c r="E10" s="9">
        <f>SUM(E4:E9)</f>
        <v/>
      </c>
      <c r="F10" s="9">
        <f>SUM(F4:F9)</f>
        <v/>
      </c>
      <c r="G10" s="9">
        <f>SUM(G4:G9)</f>
        <v/>
      </c>
    </row>
    <row r="12">
      <c r="A12" s="10" t="inlineStr">
        <is>
          <t>Baseline: derived from Julius Meinl's priorities (purchasing power and coffee culture first, import conditions and regulation next). Economy-led, Access-led and Society-led shift the emphasis. Equal is the neutral benchmark.</t>
        </is>
      </c>
    </row>
    <row r="13"/>
    <row r="15">
      <c r="A15" s="11" t="inlineStr">
        <is>
          <t>Weight of each indicator (dimension weight divided by the number of indicators in the dimension)</t>
        </is>
      </c>
    </row>
    <row r="16">
      <c r="A16" s="5" t="inlineStr">
        <is>
          <t>ID</t>
        </is>
      </c>
      <c r="B16" s="5" t="inlineStr">
        <is>
          <t>Indicator (dimension)</t>
        </is>
      </c>
      <c r="C16" s="5" t="inlineStr">
        <is>
          <t>Baseline</t>
        </is>
      </c>
      <c r="D16" s="5" t="inlineStr">
        <is>
          <t>Equal</t>
        </is>
      </c>
      <c r="E16" s="5" t="inlineStr">
        <is>
          <t>Economy-led</t>
        </is>
      </c>
      <c r="F16" s="5" t="inlineStr">
        <is>
          <t>Access-led</t>
        </is>
      </c>
      <c r="G16" s="5" t="inlineStr">
        <is>
          <t>Society-led</t>
        </is>
      </c>
    </row>
    <row r="17">
      <c r="A17" s="8">
        <f>Indicators!A4</f>
        <v/>
      </c>
      <c r="B17" s="12">
        <f>Indicators!C4&amp;" ("&amp;Indicators!B4&amp;")"</f>
        <v/>
      </c>
      <c r="C17" s="13">
        <f>INDEX($B$4:$B$9,MATCH(Indicators!$B4,$A$4:$A$9,0))/INDEX($G$4:$G$9,MATCH(Indicators!$B4,$A$4:$A$9,0))</f>
        <v/>
      </c>
      <c r="D17" s="13">
        <f>INDEX($C$4:$C$9,MATCH(Indicators!$B4,$A$4:$A$9,0))/INDEX($G$4:$G$9,MATCH(Indicators!$B4,$A$4:$A$9,0))</f>
        <v/>
      </c>
      <c r="E17" s="13">
        <f>INDEX($D$4:$D$9,MATCH(Indicators!$B4,$A$4:$A$9,0))/INDEX($G$4:$G$9,MATCH(Indicators!$B4,$A$4:$A$9,0))</f>
        <v/>
      </c>
      <c r="F17" s="13">
        <f>INDEX($E$4:$E$9,MATCH(Indicators!$B4,$A$4:$A$9,0))/INDEX($G$4:$G$9,MATCH(Indicators!$B4,$A$4:$A$9,0))</f>
        <v/>
      </c>
      <c r="G17" s="13">
        <f>INDEX($F$4:$F$9,MATCH(Indicators!$B4,$A$4:$A$9,0))/INDEX($G$4:$G$9,MATCH(Indicators!$B4,$A$4:$A$9,0))</f>
        <v/>
      </c>
    </row>
    <row r="18">
      <c r="A18" s="8">
        <f>Indicators!A5</f>
        <v/>
      </c>
      <c r="B18" s="12">
        <f>Indicators!C5&amp;" ("&amp;Indicators!B5&amp;")"</f>
        <v/>
      </c>
      <c r="C18" s="13">
        <f>INDEX($B$4:$B$9,MATCH(Indicators!$B5,$A$4:$A$9,0))/INDEX($G$4:$G$9,MATCH(Indicators!$B5,$A$4:$A$9,0))</f>
        <v/>
      </c>
      <c r="D18" s="13">
        <f>INDEX($C$4:$C$9,MATCH(Indicators!$B5,$A$4:$A$9,0))/INDEX($G$4:$G$9,MATCH(Indicators!$B5,$A$4:$A$9,0))</f>
        <v/>
      </c>
      <c r="E18" s="13">
        <f>INDEX($D$4:$D$9,MATCH(Indicators!$B5,$A$4:$A$9,0))/INDEX($G$4:$G$9,MATCH(Indicators!$B5,$A$4:$A$9,0))</f>
        <v/>
      </c>
      <c r="F18" s="13">
        <f>INDEX($E$4:$E$9,MATCH(Indicators!$B5,$A$4:$A$9,0))/INDEX($G$4:$G$9,MATCH(Indicators!$B5,$A$4:$A$9,0))</f>
        <v/>
      </c>
      <c r="G18" s="13">
        <f>INDEX($F$4:$F$9,MATCH(Indicators!$B5,$A$4:$A$9,0))/INDEX($G$4:$G$9,MATCH(Indicators!$B5,$A$4:$A$9,0))</f>
        <v/>
      </c>
    </row>
    <row r="19">
      <c r="A19" s="8">
        <f>Indicators!A6</f>
        <v/>
      </c>
      <c r="B19" s="12">
        <f>Indicators!C6&amp;" ("&amp;Indicators!B6&amp;")"</f>
        <v/>
      </c>
      <c r="C19" s="13">
        <f>INDEX($B$4:$B$9,MATCH(Indicators!$B6,$A$4:$A$9,0))/INDEX($G$4:$G$9,MATCH(Indicators!$B6,$A$4:$A$9,0))</f>
        <v/>
      </c>
      <c r="D19" s="13">
        <f>INDEX($C$4:$C$9,MATCH(Indicators!$B6,$A$4:$A$9,0))/INDEX($G$4:$G$9,MATCH(Indicators!$B6,$A$4:$A$9,0))</f>
        <v/>
      </c>
      <c r="E19" s="13">
        <f>INDEX($D$4:$D$9,MATCH(Indicators!$B6,$A$4:$A$9,0))/INDEX($G$4:$G$9,MATCH(Indicators!$B6,$A$4:$A$9,0))</f>
        <v/>
      </c>
      <c r="F19" s="13">
        <f>INDEX($E$4:$E$9,MATCH(Indicators!$B6,$A$4:$A$9,0))/INDEX($G$4:$G$9,MATCH(Indicators!$B6,$A$4:$A$9,0))</f>
        <v/>
      </c>
      <c r="G19" s="13">
        <f>INDEX($F$4:$F$9,MATCH(Indicators!$B6,$A$4:$A$9,0))/INDEX($G$4:$G$9,MATCH(Indicators!$B6,$A$4:$A$9,0))</f>
        <v/>
      </c>
    </row>
    <row r="20">
      <c r="A20" s="8">
        <f>Indicators!A7</f>
        <v/>
      </c>
      <c r="B20" s="12">
        <f>Indicators!C7&amp;" ("&amp;Indicators!B7&amp;")"</f>
        <v/>
      </c>
      <c r="C20" s="13">
        <f>INDEX($B$4:$B$9,MATCH(Indicators!$B7,$A$4:$A$9,0))/INDEX($G$4:$G$9,MATCH(Indicators!$B7,$A$4:$A$9,0))</f>
        <v/>
      </c>
      <c r="D20" s="13">
        <f>INDEX($C$4:$C$9,MATCH(Indicators!$B7,$A$4:$A$9,0))/INDEX($G$4:$G$9,MATCH(Indicators!$B7,$A$4:$A$9,0))</f>
        <v/>
      </c>
      <c r="E20" s="13">
        <f>INDEX($D$4:$D$9,MATCH(Indicators!$B7,$A$4:$A$9,0))/INDEX($G$4:$G$9,MATCH(Indicators!$B7,$A$4:$A$9,0))</f>
        <v/>
      </c>
      <c r="F20" s="13">
        <f>INDEX($E$4:$E$9,MATCH(Indicators!$B7,$A$4:$A$9,0))/INDEX($G$4:$G$9,MATCH(Indicators!$B7,$A$4:$A$9,0))</f>
        <v/>
      </c>
      <c r="G20" s="13">
        <f>INDEX($F$4:$F$9,MATCH(Indicators!$B7,$A$4:$A$9,0))/INDEX($G$4:$G$9,MATCH(Indicators!$B7,$A$4:$A$9,0))</f>
        <v/>
      </c>
    </row>
    <row r="21">
      <c r="A21" s="8">
        <f>Indicators!A8</f>
        <v/>
      </c>
      <c r="B21" s="12">
        <f>Indicators!C8&amp;" ("&amp;Indicators!B8&amp;")"</f>
        <v/>
      </c>
      <c r="C21" s="13">
        <f>INDEX($B$4:$B$9,MATCH(Indicators!$B8,$A$4:$A$9,0))/INDEX($G$4:$G$9,MATCH(Indicators!$B8,$A$4:$A$9,0))</f>
        <v/>
      </c>
      <c r="D21" s="13">
        <f>INDEX($C$4:$C$9,MATCH(Indicators!$B8,$A$4:$A$9,0))/INDEX($G$4:$G$9,MATCH(Indicators!$B8,$A$4:$A$9,0))</f>
        <v/>
      </c>
      <c r="E21" s="13">
        <f>INDEX($D$4:$D$9,MATCH(Indicators!$B8,$A$4:$A$9,0))/INDEX($G$4:$G$9,MATCH(Indicators!$B8,$A$4:$A$9,0))</f>
        <v/>
      </c>
      <c r="F21" s="13">
        <f>INDEX($E$4:$E$9,MATCH(Indicators!$B8,$A$4:$A$9,0))/INDEX($G$4:$G$9,MATCH(Indicators!$B8,$A$4:$A$9,0))</f>
        <v/>
      </c>
      <c r="G21" s="13">
        <f>INDEX($F$4:$F$9,MATCH(Indicators!$B8,$A$4:$A$9,0))/INDEX($G$4:$G$9,MATCH(Indicators!$B8,$A$4:$A$9,0))</f>
        <v/>
      </c>
    </row>
    <row r="22">
      <c r="A22" s="8">
        <f>Indicators!A9</f>
        <v/>
      </c>
      <c r="B22" s="12">
        <f>Indicators!C9&amp;" ("&amp;Indicators!B9&amp;")"</f>
        <v/>
      </c>
      <c r="C22" s="13">
        <f>INDEX($B$4:$B$9,MATCH(Indicators!$B9,$A$4:$A$9,0))/INDEX($G$4:$G$9,MATCH(Indicators!$B9,$A$4:$A$9,0))</f>
        <v/>
      </c>
      <c r="D22" s="13">
        <f>INDEX($C$4:$C$9,MATCH(Indicators!$B9,$A$4:$A$9,0))/INDEX($G$4:$G$9,MATCH(Indicators!$B9,$A$4:$A$9,0))</f>
        <v/>
      </c>
      <c r="E22" s="13">
        <f>INDEX($D$4:$D$9,MATCH(Indicators!$B9,$A$4:$A$9,0))/INDEX($G$4:$G$9,MATCH(Indicators!$B9,$A$4:$A$9,0))</f>
        <v/>
      </c>
      <c r="F22" s="13">
        <f>INDEX($E$4:$E$9,MATCH(Indicators!$B9,$A$4:$A$9,0))/INDEX($G$4:$G$9,MATCH(Indicators!$B9,$A$4:$A$9,0))</f>
        <v/>
      </c>
      <c r="G22" s="13">
        <f>INDEX($F$4:$F$9,MATCH(Indicators!$B9,$A$4:$A$9,0))/INDEX($G$4:$G$9,MATCH(Indicators!$B9,$A$4:$A$9,0))</f>
        <v/>
      </c>
    </row>
    <row r="23">
      <c r="A23" s="8">
        <f>Indicators!A10</f>
        <v/>
      </c>
      <c r="B23" s="12">
        <f>Indicators!C10&amp;" ("&amp;Indicators!B10&amp;")"</f>
        <v/>
      </c>
      <c r="C23" s="13">
        <f>INDEX($B$4:$B$9,MATCH(Indicators!$B10,$A$4:$A$9,0))/INDEX($G$4:$G$9,MATCH(Indicators!$B10,$A$4:$A$9,0))</f>
        <v/>
      </c>
      <c r="D23" s="13">
        <f>INDEX($C$4:$C$9,MATCH(Indicators!$B10,$A$4:$A$9,0))/INDEX($G$4:$G$9,MATCH(Indicators!$B10,$A$4:$A$9,0))</f>
        <v/>
      </c>
      <c r="E23" s="13">
        <f>INDEX($D$4:$D$9,MATCH(Indicators!$B10,$A$4:$A$9,0))/INDEX($G$4:$G$9,MATCH(Indicators!$B10,$A$4:$A$9,0))</f>
        <v/>
      </c>
      <c r="F23" s="13">
        <f>INDEX($E$4:$E$9,MATCH(Indicators!$B10,$A$4:$A$9,0))/INDEX($G$4:$G$9,MATCH(Indicators!$B10,$A$4:$A$9,0))</f>
        <v/>
      </c>
      <c r="G23" s="13">
        <f>INDEX($F$4:$F$9,MATCH(Indicators!$B10,$A$4:$A$9,0))/INDEX($G$4:$G$9,MATCH(Indicators!$B10,$A$4:$A$9,0))</f>
        <v/>
      </c>
    </row>
    <row r="24">
      <c r="A24" s="8">
        <f>Indicators!A11</f>
        <v/>
      </c>
      <c r="B24" s="12">
        <f>Indicators!C11&amp;" ("&amp;Indicators!B11&amp;")"</f>
        <v/>
      </c>
      <c r="C24" s="13">
        <f>INDEX($B$4:$B$9,MATCH(Indicators!$B11,$A$4:$A$9,0))/INDEX($G$4:$G$9,MATCH(Indicators!$B11,$A$4:$A$9,0))</f>
        <v/>
      </c>
      <c r="D24" s="13">
        <f>INDEX($C$4:$C$9,MATCH(Indicators!$B11,$A$4:$A$9,0))/INDEX($G$4:$G$9,MATCH(Indicators!$B11,$A$4:$A$9,0))</f>
        <v/>
      </c>
      <c r="E24" s="13">
        <f>INDEX($D$4:$D$9,MATCH(Indicators!$B11,$A$4:$A$9,0))/INDEX($G$4:$G$9,MATCH(Indicators!$B11,$A$4:$A$9,0))</f>
        <v/>
      </c>
      <c r="F24" s="13">
        <f>INDEX($E$4:$E$9,MATCH(Indicators!$B11,$A$4:$A$9,0))/INDEX($G$4:$G$9,MATCH(Indicators!$B11,$A$4:$A$9,0))</f>
        <v/>
      </c>
      <c r="G24" s="13">
        <f>INDEX($F$4:$F$9,MATCH(Indicators!$B11,$A$4:$A$9,0))/INDEX($G$4:$G$9,MATCH(Indicators!$B11,$A$4:$A$9,0))</f>
        <v/>
      </c>
    </row>
    <row r="25">
      <c r="A25" s="8">
        <f>Indicators!A12</f>
        <v/>
      </c>
      <c r="B25" s="12">
        <f>Indicators!C12&amp;" ("&amp;Indicators!B12&amp;")"</f>
        <v/>
      </c>
      <c r="C25" s="13">
        <f>INDEX($B$4:$B$9,MATCH(Indicators!$B12,$A$4:$A$9,0))/INDEX($G$4:$G$9,MATCH(Indicators!$B12,$A$4:$A$9,0))</f>
        <v/>
      </c>
      <c r="D25" s="13">
        <f>INDEX($C$4:$C$9,MATCH(Indicators!$B12,$A$4:$A$9,0))/INDEX($G$4:$G$9,MATCH(Indicators!$B12,$A$4:$A$9,0))</f>
        <v/>
      </c>
      <c r="E25" s="13">
        <f>INDEX($D$4:$D$9,MATCH(Indicators!$B12,$A$4:$A$9,0))/INDEX($G$4:$G$9,MATCH(Indicators!$B12,$A$4:$A$9,0))</f>
        <v/>
      </c>
      <c r="F25" s="13">
        <f>INDEX($E$4:$E$9,MATCH(Indicators!$B12,$A$4:$A$9,0))/INDEX($G$4:$G$9,MATCH(Indicators!$B12,$A$4:$A$9,0))</f>
        <v/>
      </c>
      <c r="G25" s="13">
        <f>INDEX($F$4:$F$9,MATCH(Indicators!$B12,$A$4:$A$9,0))/INDEX($G$4:$G$9,MATCH(Indicators!$B12,$A$4:$A$9,0))</f>
        <v/>
      </c>
    </row>
    <row r="26">
      <c r="A26" s="8">
        <f>Indicators!A13</f>
        <v/>
      </c>
      <c r="B26" s="12">
        <f>Indicators!C13&amp;" ("&amp;Indicators!B13&amp;")"</f>
        <v/>
      </c>
      <c r="C26" s="13">
        <f>INDEX($B$4:$B$9,MATCH(Indicators!$B13,$A$4:$A$9,0))/INDEX($G$4:$G$9,MATCH(Indicators!$B13,$A$4:$A$9,0))</f>
        <v/>
      </c>
      <c r="D26" s="13">
        <f>INDEX($C$4:$C$9,MATCH(Indicators!$B13,$A$4:$A$9,0))/INDEX($G$4:$G$9,MATCH(Indicators!$B13,$A$4:$A$9,0))</f>
        <v/>
      </c>
      <c r="E26" s="13">
        <f>INDEX($D$4:$D$9,MATCH(Indicators!$B13,$A$4:$A$9,0))/INDEX($G$4:$G$9,MATCH(Indicators!$B13,$A$4:$A$9,0))</f>
        <v/>
      </c>
      <c r="F26" s="13">
        <f>INDEX($E$4:$E$9,MATCH(Indicators!$B13,$A$4:$A$9,0))/INDEX($G$4:$G$9,MATCH(Indicators!$B13,$A$4:$A$9,0))</f>
        <v/>
      </c>
      <c r="G26" s="13">
        <f>INDEX($F$4:$F$9,MATCH(Indicators!$B13,$A$4:$A$9,0))/INDEX($G$4:$G$9,MATCH(Indicators!$B13,$A$4:$A$9,0))</f>
        <v/>
      </c>
    </row>
    <row r="27">
      <c r="A27" s="8">
        <f>Indicators!A14</f>
        <v/>
      </c>
      <c r="B27" s="12">
        <f>Indicators!C14&amp;" ("&amp;Indicators!B14&amp;")"</f>
        <v/>
      </c>
      <c r="C27" s="13">
        <f>INDEX($B$4:$B$9,MATCH(Indicators!$B14,$A$4:$A$9,0))/INDEX($G$4:$G$9,MATCH(Indicators!$B14,$A$4:$A$9,0))</f>
        <v/>
      </c>
      <c r="D27" s="13">
        <f>INDEX($C$4:$C$9,MATCH(Indicators!$B14,$A$4:$A$9,0))/INDEX($G$4:$G$9,MATCH(Indicators!$B14,$A$4:$A$9,0))</f>
        <v/>
      </c>
      <c r="E27" s="13">
        <f>INDEX($D$4:$D$9,MATCH(Indicators!$B14,$A$4:$A$9,0))/INDEX($G$4:$G$9,MATCH(Indicators!$B14,$A$4:$A$9,0))</f>
        <v/>
      </c>
      <c r="F27" s="13">
        <f>INDEX($E$4:$E$9,MATCH(Indicators!$B14,$A$4:$A$9,0))/INDEX($G$4:$G$9,MATCH(Indicators!$B14,$A$4:$A$9,0))</f>
        <v/>
      </c>
      <c r="G27" s="13">
        <f>INDEX($F$4:$F$9,MATCH(Indicators!$B14,$A$4:$A$9,0))/INDEX($G$4:$G$9,MATCH(Indicators!$B14,$A$4:$A$9,0))</f>
        <v/>
      </c>
    </row>
    <row r="28">
      <c r="A28" s="8">
        <f>Indicators!A15</f>
        <v/>
      </c>
      <c r="B28" s="12">
        <f>Indicators!C15&amp;" ("&amp;Indicators!B15&amp;")"</f>
        <v/>
      </c>
      <c r="C28" s="13">
        <f>INDEX($B$4:$B$9,MATCH(Indicators!$B15,$A$4:$A$9,0))/INDEX($G$4:$G$9,MATCH(Indicators!$B15,$A$4:$A$9,0))</f>
        <v/>
      </c>
      <c r="D28" s="13">
        <f>INDEX($C$4:$C$9,MATCH(Indicators!$B15,$A$4:$A$9,0))/INDEX($G$4:$G$9,MATCH(Indicators!$B15,$A$4:$A$9,0))</f>
        <v/>
      </c>
      <c r="E28" s="13">
        <f>INDEX($D$4:$D$9,MATCH(Indicators!$B15,$A$4:$A$9,0))/INDEX($G$4:$G$9,MATCH(Indicators!$B15,$A$4:$A$9,0))</f>
        <v/>
      </c>
      <c r="F28" s="13">
        <f>INDEX($E$4:$E$9,MATCH(Indicators!$B15,$A$4:$A$9,0))/INDEX($G$4:$G$9,MATCH(Indicators!$B15,$A$4:$A$9,0))</f>
        <v/>
      </c>
      <c r="G28" s="13">
        <f>INDEX($F$4:$F$9,MATCH(Indicators!$B15,$A$4:$A$9,0))/INDEX($G$4:$G$9,MATCH(Indicators!$B15,$A$4:$A$9,0))</f>
        <v/>
      </c>
    </row>
    <row r="29">
      <c r="A29" s="8">
        <f>Indicators!A16</f>
        <v/>
      </c>
      <c r="B29" s="12">
        <f>Indicators!C16&amp;" ("&amp;Indicators!B16&amp;")"</f>
        <v/>
      </c>
      <c r="C29" s="13">
        <f>INDEX($B$4:$B$9,MATCH(Indicators!$B16,$A$4:$A$9,0))/INDEX($G$4:$G$9,MATCH(Indicators!$B16,$A$4:$A$9,0))</f>
        <v/>
      </c>
      <c r="D29" s="13">
        <f>INDEX($C$4:$C$9,MATCH(Indicators!$B16,$A$4:$A$9,0))/INDEX($G$4:$G$9,MATCH(Indicators!$B16,$A$4:$A$9,0))</f>
        <v/>
      </c>
      <c r="E29" s="13">
        <f>INDEX($D$4:$D$9,MATCH(Indicators!$B16,$A$4:$A$9,0))/INDEX($G$4:$G$9,MATCH(Indicators!$B16,$A$4:$A$9,0))</f>
        <v/>
      </c>
      <c r="F29" s="13">
        <f>INDEX($E$4:$E$9,MATCH(Indicators!$B16,$A$4:$A$9,0))/INDEX($G$4:$G$9,MATCH(Indicators!$B16,$A$4:$A$9,0))</f>
        <v/>
      </c>
      <c r="G29" s="13">
        <f>INDEX($F$4:$F$9,MATCH(Indicators!$B16,$A$4:$A$9,0))/INDEX($G$4:$G$9,MATCH(Indicators!$B16,$A$4:$A$9,0))</f>
        <v/>
      </c>
    </row>
    <row r="30">
      <c r="A30" s="8">
        <f>Indicators!A17</f>
        <v/>
      </c>
      <c r="B30" s="12">
        <f>Indicators!C17&amp;" ("&amp;Indicators!B17&amp;")"</f>
        <v/>
      </c>
      <c r="C30" s="13">
        <f>INDEX($B$4:$B$9,MATCH(Indicators!$B17,$A$4:$A$9,0))/INDEX($G$4:$G$9,MATCH(Indicators!$B17,$A$4:$A$9,0))</f>
        <v/>
      </c>
      <c r="D30" s="13">
        <f>INDEX($C$4:$C$9,MATCH(Indicators!$B17,$A$4:$A$9,0))/INDEX($G$4:$G$9,MATCH(Indicators!$B17,$A$4:$A$9,0))</f>
        <v/>
      </c>
      <c r="E30" s="13">
        <f>INDEX($D$4:$D$9,MATCH(Indicators!$B17,$A$4:$A$9,0))/INDEX($G$4:$G$9,MATCH(Indicators!$B17,$A$4:$A$9,0))</f>
        <v/>
      </c>
      <c r="F30" s="13">
        <f>INDEX($E$4:$E$9,MATCH(Indicators!$B17,$A$4:$A$9,0))/INDEX($G$4:$G$9,MATCH(Indicators!$B17,$A$4:$A$9,0))</f>
        <v/>
      </c>
      <c r="G30" s="13">
        <f>INDEX($F$4:$F$9,MATCH(Indicators!$B17,$A$4:$A$9,0))/INDEX($G$4:$G$9,MATCH(Indicators!$B17,$A$4:$A$9,0))</f>
        <v/>
      </c>
    </row>
    <row r="31">
      <c r="A31" s="8">
        <f>Indicators!A18</f>
        <v/>
      </c>
      <c r="B31" s="12">
        <f>Indicators!C18&amp;" ("&amp;Indicators!B18&amp;")"</f>
        <v/>
      </c>
      <c r="C31" s="13">
        <f>INDEX($B$4:$B$9,MATCH(Indicators!$B18,$A$4:$A$9,0))/INDEX($G$4:$G$9,MATCH(Indicators!$B18,$A$4:$A$9,0))</f>
        <v/>
      </c>
      <c r="D31" s="13">
        <f>INDEX($C$4:$C$9,MATCH(Indicators!$B18,$A$4:$A$9,0))/INDEX($G$4:$G$9,MATCH(Indicators!$B18,$A$4:$A$9,0))</f>
        <v/>
      </c>
      <c r="E31" s="13">
        <f>INDEX($D$4:$D$9,MATCH(Indicators!$B18,$A$4:$A$9,0))/INDEX($G$4:$G$9,MATCH(Indicators!$B18,$A$4:$A$9,0))</f>
        <v/>
      </c>
      <c r="F31" s="13">
        <f>INDEX($E$4:$E$9,MATCH(Indicators!$B18,$A$4:$A$9,0))/INDEX($G$4:$G$9,MATCH(Indicators!$B18,$A$4:$A$9,0))</f>
        <v/>
      </c>
      <c r="G31" s="13">
        <f>INDEX($F$4:$F$9,MATCH(Indicators!$B18,$A$4:$A$9,0))/INDEX($G$4:$G$9,MATCH(Indicators!$B18,$A$4:$A$9,0))</f>
        <v/>
      </c>
    </row>
    <row r="32">
      <c r="A32" s="8">
        <f>Indicators!A19</f>
        <v/>
      </c>
      <c r="B32" s="12">
        <f>Indicators!C19&amp;" ("&amp;Indicators!B19&amp;")"</f>
        <v/>
      </c>
      <c r="C32" s="13">
        <f>INDEX($B$4:$B$9,MATCH(Indicators!$B19,$A$4:$A$9,0))/INDEX($G$4:$G$9,MATCH(Indicators!$B19,$A$4:$A$9,0))</f>
        <v/>
      </c>
      <c r="D32" s="13">
        <f>INDEX($C$4:$C$9,MATCH(Indicators!$B19,$A$4:$A$9,0))/INDEX($G$4:$G$9,MATCH(Indicators!$B19,$A$4:$A$9,0))</f>
        <v/>
      </c>
      <c r="E32" s="13">
        <f>INDEX($D$4:$D$9,MATCH(Indicators!$B19,$A$4:$A$9,0))/INDEX($G$4:$G$9,MATCH(Indicators!$B19,$A$4:$A$9,0))</f>
        <v/>
      </c>
      <c r="F32" s="13">
        <f>INDEX($E$4:$E$9,MATCH(Indicators!$B19,$A$4:$A$9,0))/INDEX($G$4:$G$9,MATCH(Indicators!$B19,$A$4:$A$9,0))</f>
        <v/>
      </c>
      <c r="G32" s="13">
        <f>INDEX($F$4:$F$9,MATCH(Indicators!$B19,$A$4:$A$9,0))/INDEX($G$4:$G$9,MATCH(Indicators!$B19,$A$4:$A$9,0))</f>
        <v/>
      </c>
    </row>
    <row r="33">
      <c r="A33" s="8">
        <f>Indicators!A20</f>
        <v/>
      </c>
      <c r="B33" s="12">
        <f>Indicators!C20&amp;" ("&amp;Indicators!B20&amp;")"</f>
        <v/>
      </c>
      <c r="C33" s="13">
        <f>INDEX($B$4:$B$9,MATCH(Indicators!$B20,$A$4:$A$9,0))/INDEX($G$4:$G$9,MATCH(Indicators!$B20,$A$4:$A$9,0))</f>
        <v/>
      </c>
      <c r="D33" s="13">
        <f>INDEX($C$4:$C$9,MATCH(Indicators!$B20,$A$4:$A$9,0))/INDEX($G$4:$G$9,MATCH(Indicators!$B20,$A$4:$A$9,0))</f>
        <v/>
      </c>
      <c r="E33" s="13">
        <f>INDEX($D$4:$D$9,MATCH(Indicators!$B20,$A$4:$A$9,0))/INDEX($G$4:$G$9,MATCH(Indicators!$B20,$A$4:$A$9,0))</f>
        <v/>
      </c>
      <c r="F33" s="13">
        <f>INDEX($E$4:$E$9,MATCH(Indicators!$B20,$A$4:$A$9,0))/INDEX($G$4:$G$9,MATCH(Indicators!$B20,$A$4:$A$9,0))</f>
        <v/>
      </c>
      <c r="G33" s="13">
        <f>INDEX($F$4:$F$9,MATCH(Indicators!$B20,$A$4:$A$9,0))/INDEX($G$4:$G$9,MATCH(Indicators!$B20,$A$4:$A$9,0))</f>
        <v/>
      </c>
    </row>
    <row r="34">
      <c r="A34" s="8">
        <f>Indicators!A21</f>
        <v/>
      </c>
      <c r="B34" s="12">
        <f>Indicators!C21&amp;" ("&amp;Indicators!B21&amp;")"</f>
        <v/>
      </c>
      <c r="C34" s="13">
        <f>INDEX($B$4:$B$9,MATCH(Indicators!$B21,$A$4:$A$9,0))/INDEX($G$4:$G$9,MATCH(Indicators!$B21,$A$4:$A$9,0))</f>
        <v/>
      </c>
      <c r="D34" s="13">
        <f>INDEX($C$4:$C$9,MATCH(Indicators!$B21,$A$4:$A$9,0))/INDEX($G$4:$G$9,MATCH(Indicators!$B21,$A$4:$A$9,0))</f>
        <v/>
      </c>
      <c r="E34" s="13">
        <f>INDEX($D$4:$D$9,MATCH(Indicators!$B21,$A$4:$A$9,0))/INDEX($G$4:$G$9,MATCH(Indicators!$B21,$A$4:$A$9,0))</f>
        <v/>
      </c>
      <c r="F34" s="13">
        <f>INDEX($E$4:$E$9,MATCH(Indicators!$B21,$A$4:$A$9,0))/INDEX($G$4:$G$9,MATCH(Indicators!$B21,$A$4:$A$9,0))</f>
        <v/>
      </c>
      <c r="G34" s="13">
        <f>INDEX($F$4:$F$9,MATCH(Indicators!$B21,$A$4:$A$9,0))/INDEX($G$4:$G$9,MATCH(Indicators!$B21,$A$4:$A$9,0))</f>
        <v/>
      </c>
    </row>
    <row r="35">
      <c r="A35" s="8">
        <f>Indicators!A22</f>
        <v/>
      </c>
      <c r="B35" s="12">
        <f>Indicators!C22&amp;" ("&amp;Indicators!B22&amp;")"</f>
        <v/>
      </c>
      <c r="C35" s="13">
        <f>INDEX($B$4:$B$9,MATCH(Indicators!$B22,$A$4:$A$9,0))/INDEX($G$4:$G$9,MATCH(Indicators!$B22,$A$4:$A$9,0))</f>
        <v/>
      </c>
      <c r="D35" s="13">
        <f>INDEX($C$4:$C$9,MATCH(Indicators!$B22,$A$4:$A$9,0))/INDEX($G$4:$G$9,MATCH(Indicators!$B22,$A$4:$A$9,0))</f>
        <v/>
      </c>
      <c r="E35" s="13">
        <f>INDEX($D$4:$D$9,MATCH(Indicators!$B22,$A$4:$A$9,0))/INDEX($G$4:$G$9,MATCH(Indicators!$B22,$A$4:$A$9,0))</f>
        <v/>
      </c>
      <c r="F35" s="13">
        <f>INDEX($E$4:$E$9,MATCH(Indicators!$B22,$A$4:$A$9,0))/INDEX($G$4:$G$9,MATCH(Indicators!$B22,$A$4:$A$9,0))</f>
        <v/>
      </c>
      <c r="G35" s="13">
        <f>INDEX($F$4:$F$9,MATCH(Indicators!$B22,$A$4:$A$9,0))/INDEX($G$4:$G$9,MATCH(Indicators!$B22,$A$4:$A$9,0))</f>
        <v/>
      </c>
    </row>
    <row r="36">
      <c r="A36" s="8">
        <f>Indicators!A23</f>
        <v/>
      </c>
      <c r="B36" s="12">
        <f>Indicators!C23&amp;" ("&amp;Indicators!B23&amp;")"</f>
        <v/>
      </c>
      <c r="C36" s="13">
        <f>INDEX($B$4:$B$9,MATCH(Indicators!$B23,$A$4:$A$9,0))/INDEX($G$4:$G$9,MATCH(Indicators!$B23,$A$4:$A$9,0))</f>
        <v/>
      </c>
      <c r="D36" s="13">
        <f>INDEX($C$4:$C$9,MATCH(Indicators!$B23,$A$4:$A$9,0))/INDEX($G$4:$G$9,MATCH(Indicators!$B23,$A$4:$A$9,0))</f>
        <v/>
      </c>
      <c r="E36" s="13">
        <f>INDEX($D$4:$D$9,MATCH(Indicators!$B23,$A$4:$A$9,0))/INDEX($G$4:$G$9,MATCH(Indicators!$B23,$A$4:$A$9,0))</f>
        <v/>
      </c>
      <c r="F36" s="13">
        <f>INDEX($E$4:$E$9,MATCH(Indicators!$B23,$A$4:$A$9,0))/INDEX($G$4:$G$9,MATCH(Indicators!$B23,$A$4:$A$9,0))</f>
        <v/>
      </c>
      <c r="G36" s="13">
        <f>INDEX($F$4:$F$9,MATCH(Indicators!$B23,$A$4:$A$9,0))/INDEX($G$4:$G$9,MATCH(Indicators!$B23,$A$4:$A$9,0))</f>
        <v/>
      </c>
    </row>
    <row r="37">
      <c r="A37" s="8">
        <f>Indicators!A24</f>
        <v/>
      </c>
      <c r="B37" s="12">
        <f>Indicators!C24&amp;" ("&amp;Indicators!B24&amp;")"</f>
        <v/>
      </c>
      <c r="C37" s="13">
        <f>INDEX($B$4:$B$9,MATCH(Indicators!$B24,$A$4:$A$9,0))/INDEX($G$4:$G$9,MATCH(Indicators!$B24,$A$4:$A$9,0))</f>
        <v/>
      </c>
      <c r="D37" s="13">
        <f>INDEX($C$4:$C$9,MATCH(Indicators!$B24,$A$4:$A$9,0))/INDEX($G$4:$G$9,MATCH(Indicators!$B24,$A$4:$A$9,0))</f>
        <v/>
      </c>
      <c r="E37" s="13">
        <f>INDEX($D$4:$D$9,MATCH(Indicators!$B24,$A$4:$A$9,0))/INDEX($G$4:$G$9,MATCH(Indicators!$B24,$A$4:$A$9,0))</f>
        <v/>
      </c>
      <c r="F37" s="13">
        <f>INDEX($E$4:$E$9,MATCH(Indicators!$B24,$A$4:$A$9,0))/INDEX($G$4:$G$9,MATCH(Indicators!$B24,$A$4:$A$9,0))</f>
        <v/>
      </c>
      <c r="G37" s="13">
        <f>INDEX($F$4:$F$9,MATCH(Indicators!$B24,$A$4:$A$9,0))/INDEX($G$4:$G$9,MATCH(Indicators!$B24,$A$4:$A$9,0))</f>
        <v/>
      </c>
    </row>
    <row r="38">
      <c r="A38" s="8">
        <f>Indicators!A25</f>
        <v/>
      </c>
      <c r="B38" s="12">
        <f>Indicators!C25&amp;" ("&amp;Indicators!B25&amp;")"</f>
        <v/>
      </c>
      <c r="C38" s="13">
        <f>INDEX($B$4:$B$9,MATCH(Indicators!$B25,$A$4:$A$9,0))/INDEX($G$4:$G$9,MATCH(Indicators!$B25,$A$4:$A$9,0))</f>
        <v/>
      </c>
      <c r="D38" s="13">
        <f>INDEX($C$4:$C$9,MATCH(Indicators!$B25,$A$4:$A$9,0))/INDEX($G$4:$G$9,MATCH(Indicators!$B25,$A$4:$A$9,0))</f>
        <v/>
      </c>
      <c r="E38" s="13">
        <f>INDEX($D$4:$D$9,MATCH(Indicators!$B25,$A$4:$A$9,0))/INDEX($G$4:$G$9,MATCH(Indicators!$B25,$A$4:$A$9,0))</f>
        <v/>
      </c>
      <c r="F38" s="13">
        <f>INDEX($E$4:$E$9,MATCH(Indicators!$B25,$A$4:$A$9,0))/INDEX($G$4:$G$9,MATCH(Indicators!$B25,$A$4:$A$9,0))</f>
        <v/>
      </c>
      <c r="G38" s="13">
        <f>INDEX($F$4:$F$9,MATCH(Indicators!$B25,$A$4:$A$9,0))/INDEX($G$4:$G$9,MATCH(Indicators!$B25,$A$4:$A$9,0))</f>
        <v/>
      </c>
    </row>
    <row r="39">
      <c r="A39" s="8">
        <f>Indicators!A26</f>
        <v/>
      </c>
      <c r="B39" s="12">
        <f>Indicators!C26&amp;" ("&amp;Indicators!B26&amp;")"</f>
        <v/>
      </c>
      <c r="C39" s="13">
        <f>INDEX($B$4:$B$9,MATCH(Indicators!$B26,$A$4:$A$9,0))/INDEX($G$4:$G$9,MATCH(Indicators!$B26,$A$4:$A$9,0))</f>
        <v/>
      </c>
      <c r="D39" s="13">
        <f>INDEX($C$4:$C$9,MATCH(Indicators!$B26,$A$4:$A$9,0))/INDEX($G$4:$G$9,MATCH(Indicators!$B26,$A$4:$A$9,0))</f>
        <v/>
      </c>
      <c r="E39" s="13">
        <f>INDEX($D$4:$D$9,MATCH(Indicators!$B26,$A$4:$A$9,0))/INDEX($G$4:$G$9,MATCH(Indicators!$B26,$A$4:$A$9,0))</f>
        <v/>
      </c>
      <c r="F39" s="13">
        <f>INDEX($E$4:$E$9,MATCH(Indicators!$B26,$A$4:$A$9,0))/INDEX($G$4:$G$9,MATCH(Indicators!$B26,$A$4:$A$9,0))</f>
        <v/>
      </c>
      <c r="G39" s="13">
        <f>INDEX($F$4:$F$9,MATCH(Indicators!$B26,$A$4:$A$9,0))/INDEX($G$4:$G$9,MATCH(Indicators!$B26,$A$4:$A$9,0))</f>
        <v/>
      </c>
    </row>
    <row r="40">
      <c r="A40" s="8">
        <f>Indicators!A27</f>
        <v/>
      </c>
      <c r="B40" s="12">
        <f>Indicators!C27&amp;" ("&amp;Indicators!B27&amp;")"</f>
        <v/>
      </c>
      <c r="C40" s="13">
        <f>INDEX($B$4:$B$9,MATCH(Indicators!$B27,$A$4:$A$9,0))/INDEX($G$4:$G$9,MATCH(Indicators!$B27,$A$4:$A$9,0))</f>
        <v/>
      </c>
      <c r="D40" s="13">
        <f>INDEX($C$4:$C$9,MATCH(Indicators!$B27,$A$4:$A$9,0))/INDEX($G$4:$G$9,MATCH(Indicators!$B27,$A$4:$A$9,0))</f>
        <v/>
      </c>
      <c r="E40" s="13">
        <f>INDEX($D$4:$D$9,MATCH(Indicators!$B27,$A$4:$A$9,0))/INDEX($G$4:$G$9,MATCH(Indicators!$B27,$A$4:$A$9,0))</f>
        <v/>
      </c>
      <c r="F40" s="13">
        <f>INDEX($E$4:$E$9,MATCH(Indicators!$B27,$A$4:$A$9,0))/INDEX($G$4:$G$9,MATCH(Indicators!$B27,$A$4:$A$9,0))</f>
        <v/>
      </c>
      <c r="G40" s="13">
        <f>INDEX($F$4:$F$9,MATCH(Indicators!$B27,$A$4:$A$9,0))/INDEX($G$4:$G$9,MATCH(Indicators!$B27,$A$4:$A$9,0))</f>
        <v/>
      </c>
    </row>
    <row r="41">
      <c r="A41" s="8">
        <f>Indicators!A28</f>
        <v/>
      </c>
      <c r="B41" s="12">
        <f>Indicators!C28&amp;" ("&amp;Indicators!B28&amp;")"</f>
        <v/>
      </c>
      <c r="C41" s="13">
        <f>INDEX($B$4:$B$9,MATCH(Indicators!$B28,$A$4:$A$9,0))/INDEX($G$4:$G$9,MATCH(Indicators!$B28,$A$4:$A$9,0))</f>
        <v/>
      </c>
      <c r="D41" s="13">
        <f>INDEX($C$4:$C$9,MATCH(Indicators!$B28,$A$4:$A$9,0))/INDEX($G$4:$G$9,MATCH(Indicators!$B28,$A$4:$A$9,0))</f>
        <v/>
      </c>
      <c r="E41" s="13">
        <f>INDEX($D$4:$D$9,MATCH(Indicators!$B28,$A$4:$A$9,0))/INDEX($G$4:$G$9,MATCH(Indicators!$B28,$A$4:$A$9,0))</f>
        <v/>
      </c>
      <c r="F41" s="13">
        <f>INDEX($E$4:$E$9,MATCH(Indicators!$B28,$A$4:$A$9,0))/INDEX($G$4:$G$9,MATCH(Indicators!$B28,$A$4:$A$9,0))</f>
        <v/>
      </c>
      <c r="G41" s="13">
        <f>INDEX($F$4:$F$9,MATCH(Indicators!$B28,$A$4:$A$9,0))/INDEX($G$4:$G$9,MATCH(Indicators!$B28,$A$4:$A$9,0))</f>
        <v/>
      </c>
    </row>
    <row r="42">
      <c r="A42" s="8">
        <f>Indicators!A29</f>
        <v/>
      </c>
      <c r="B42" s="12">
        <f>Indicators!C29&amp;" ("&amp;Indicators!B29&amp;")"</f>
        <v/>
      </c>
      <c r="C42" s="13">
        <f>INDEX($B$4:$B$9,MATCH(Indicators!$B29,$A$4:$A$9,0))/INDEX($G$4:$G$9,MATCH(Indicators!$B29,$A$4:$A$9,0))</f>
        <v/>
      </c>
      <c r="D42" s="13">
        <f>INDEX($C$4:$C$9,MATCH(Indicators!$B29,$A$4:$A$9,0))/INDEX($G$4:$G$9,MATCH(Indicators!$B29,$A$4:$A$9,0))</f>
        <v/>
      </c>
      <c r="E42" s="13">
        <f>INDEX($D$4:$D$9,MATCH(Indicators!$B29,$A$4:$A$9,0))/INDEX($G$4:$G$9,MATCH(Indicators!$B29,$A$4:$A$9,0))</f>
        <v/>
      </c>
      <c r="F42" s="13">
        <f>INDEX($E$4:$E$9,MATCH(Indicators!$B29,$A$4:$A$9,0))/INDEX($G$4:$G$9,MATCH(Indicators!$B29,$A$4:$A$9,0))</f>
        <v/>
      </c>
      <c r="G42" s="13">
        <f>INDEX($F$4:$F$9,MATCH(Indicators!$B29,$A$4:$A$9,0))/INDEX($G$4:$G$9,MATCH(Indicators!$B29,$A$4:$A$9,0))</f>
        <v/>
      </c>
    </row>
    <row r="43">
      <c r="A43" s="8">
        <f>Indicators!A30</f>
        <v/>
      </c>
      <c r="B43" s="12">
        <f>Indicators!C30&amp;" ("&amp;Indicators!B30&amp;")"</f>
        <v/>
      </c>
      <c r="C43" s="13">
        <f>INDEX($B$4:$B$9,MATCH(Indicators!$B30,$A$4:$A$9,0))/INDEX($G$4:$G$9,MATCH(Indicators!$B30,$A$4:$A$9,0))</f>
        <v/>
      </c>
      <c r="D43" s="13">
        <f>INDEX($C$4:$C$9,MATCH(Indicators!$B30,$A$4:$A$9,0))/INDEX($G$4:$G$9,MATCH(Indicators!$B30,$A$4:$A$9,0))</f>
        <v/>
      </c>
      <c r="E43" s="13">
        <f>INDEX($D$4:$D$9,MATCH(Indicators!$B30,$A$4:$A$9,0))/INDEX($G$4:$G$9,MATCH(Indicators!$B30,$A$4:$A$9,0))</f>
        <v/>
      </c>
      <c r="F43" s="13">
        <f>INDEX($E$4:$E$9,MATCH(Indicators!$B30,$A$4:$A$9,0))/INDEX($G$4:$G$9,MATCH(Indicators!$B30,$A$4:$A$9,0))</f>
        <v/>
      </c>
      <c r="G43" s="13">
        <f>INDEX($F$4:$F$9,MATCH(Indicators!$B30,$A$4:$A$9,0))/INDEX($G$4:$G$9,MATCH(Indicators!$B30,$A$4:$A$9,0))</f>
        <v/>
      </c>
    </row>
    <row r="44">
      <c r="A44" s="8">
        <f>Indicators!A31</f>
        <v/>
      </c>
      <c r="B44" s="12">
        <f>Indicators!C31&amp;" ("&amp;Indicators!B31&amp;")"</f>
        <v/>
      </c>
      <c r="C44" s="13">
        <f>INDEX($B$4:$B$9,MATCH(Indicators!$B31,$A$4:$A$9,0))/INDEX($G$4:$G$9,MATCH(Indicators!$B31,$A$4:$A$9,0))</f>
        <v/>
      </c>
      <c r="D44" s="13">
        <f>INDEX($C$4:$C$9,MATCH(Indicators!$B31,$A$4:$A$9,0))/INDEX($G$4:$G$9,MATCH(Indicators!$B31,$A$4:$A$9,0))</f>
        <v/>
      </c>
      <c r="E44" s="13">
        <f>INDEX($D$4:$D$9,MATCH(Indicators!$B31,$A$4:$A$9,0))/INDEX($G$4:$G$9,MATCH(Indicators!$B31,$A$4:$A$9,0))</f>
        <v/>
      </c>
      <c r="F44" s="13">
        <f>INDEX($E$4:$E$9,MATCH(Indicators!$B31,$A$4:$A$9,0))/INDEX($G$4:$G$9,MATCH(Indicators!$B31,$A$4:$A$9,0))</f>
        <v/>
      </c>
      <c r="G44" s="13">
        <f>INDEX($F$4:$F$9,MATCH(Indicators!$B31,$A$4:$A$9,0))/INDEX($G$4:$G$9,MATCH(Indicators!$B31,$A$4:$A$9,0))</f>
        <v/>
      </c>
    </row>
    <row r="45">
      <c r="A45" s="8">
        <f>Indicators!A32</f>
        <v/>
      </c>
      <c r="B45" s="12">
        <f>Indicators!C32&amp;" ("&amp;Indicators!B32&amp;")"</f>
        <v/>
      </c>
      <c r="C45" s="13">
        <f>INDEX($B$4:$B$9,MATCH(Indicators!$B32,$A$4:$A$9,0))/INDEX($G$4:$G$9,MATCH(Indicators!$B32,$A$4:$A$9,0))</f>
        <v/>
      </c>
      <c r="D45" s="13">
        <f>INDEX($C$4:$C$9,MATCH(Indicators!$B32,$A$4:$A$9,0))/INDEX($G$4:$G$9,MATCH(Indicators!$B32,$A$4:$A$9,0))</f>
        <v/>
      </c>
      <c r="E45" s="13">
        <f>INDEX($D$4:$D$9,MATCH(Indicators!$B32,$A$4:$A$9,0))/INDEX($G$4:$G$9,MATCH(Indicators!$B32,$A$4:$A$9,0))</f>
        <v/>
      </c>
      <c r="F45" s="13">
        <f>INDEX($E$4:$E$9,MATCH(Indicators!$B32,$A$4:$A$9,0))/INDEX($G$4:$G$9,MATCH(Indicators!$B32,$A$4:$A$9,0))</f>
        <v/>
      </c>
      <c r="G45" s="13">
        <f>INDEX($F$4:$F$9,MATCH(Indicators!$B32,$A$4:$A$9,0))/INDEX($G$4:$G$9,MATCH(Indicators!$B32,$A$4:$A$9,0))</f>
        <v/>
      </c>
    </row>
    <row r="46">
      <c r="A46" s="8">
        <f>Indicators!A33</f>
        <v/>
      </c>
      <c r="B46" s="12">
        <f>Indicators!C33&amp;" ("&amp;Indicators!B33&amp;")"</f>
        <v/>
      </c>
      <c r="C46" s="13">
        <f>INDEX($B$4:$B$9,MATCH(Indicators!$B33,$A$4:$A$9,0))/INDEX($G$4:$G$9,MATCH(Indicators!$B33,$A$4:$A$9,0))</f>
        <v/>
      </c>
      <c r="D46" s="13">
        <f>INDEX($C$4:$C$9,MATCH(Indicators!$B33,$A$4:$A$9,0))/INDEX($G$4:$G$9,MATCH(Indicators!$B33,$A$4:$A$9,0))</f>
        <v/>
      </c>
      <c r="E46" s="13">
        <f>INDEX($D$4:$D$9,MATCH(Indicators!$B33,$A$4:$A$9,0))/INDEX($G$4:$G$9,MATCH(Indicators!$B33,$A$4:$A$9,0))</f>
        <v/>
      </c>
      <c r="F46" s="13">
        <f>INDEX($E$4:$E$9,MATCH(Indicators!$B33,$A$4:$A$9,0))/INDEX($G$4:$G$9,MATCH(Indicators!$B33,$A$4:$A$9,0))</f>
        <v/>
      </c>
      <c r="G46" s="13">
        <f>INDEX($F$4:$F$9,MATCH(Indicators!$B33,$A$4:$A$9,0))/INDEX($G$4:$G$9,MATCH(Indicators!$B33,$A$4:$A$9,0))</f>
        <v/>
      </c>
    </row>
    <row r="47">
      <c r="A47" s="8">
        <f>Indicators!A34</f>
        <v/>
      </c>
      <c r="B47" s="12">
        <f>Indicators!C34&amp;" ("&amp;Indicators!B34&amp;")"</f>
        <v/>
      </c>
      <c r="C47" s="13">
        <f>INDEX($B$4:$B$9,MATCH(Indicators!$B34,$A$4:$A$9,0))/INDEX($G$4:$G$9,MATCH(Indicators!$B34,$A$4:$A$9,0))</f>
        <v/>
      </c>
      <c r="D47" s="13">
        <f>INDEX($C$4:$C$9,MATCH(Indicators!$B34,$A$4:$A$9,0))/INDEX($G$4:$G$9,MATCH(Indicators!$B34,$A$4:$A$9,0))</f>
        <v/>
      </c>
      <c r="E47" s="13">
        <f>INDEX($D$4:$D$9,MATCH(Indicators!$B34,$A$4:$A$9,0))/INDEX($G$4:$G$9,MATCH(Indicators!$B34,$A$4:$A$9,0))</f>
        <v/>
      </c>
      <c r="F47" s="13">
        <f>INDEX($E$4:$E$9,MATCH(Indicators!$B34,$A$4:$A$9,0))/INDEX($G$4:$G$9,MATCH(Indicators!$B34,$A$4:$A$9,0))</f>
        <v/>
      </c>
      <c r="G47" s="13">
        <f>INDEX($F$4:$F$9,MATCH(Indicators!$B34,$A$4:$A$9,0))/INDEX($G$4:$G$9,MATCH(Indicators!$B34,$A$4:$A$9,0))</f>
        <v/>
      </c>
    </row>
    <row r="48">
      <c r="A48" s="8">
        <f>Indicators!A35</f>
        <v/>
      </c>
      <c r="B48" s="12">
        <f>Indicators!C35&amp;" ("&amp;Indicators!B35&amp;")"</f>
        <v/>
      </c>
      <c r="C48" s="13">
        <f>INDEX($B$4:$B$9,MATCH(Indicators!$B35,$A$4:$A$9,0))/INDEX($G$4:$G$9,MATCH(Indicators!$B35,$A$4:$A$9,0))</f>
        <v/>
      </c>
      <c r="D48" s="13">
        <f>INDEX($C$4:$C$9,MATCH(Indicators!$B35,$A$4:$A$9,0))/INDEX($G$4:$G$9,MATCH(Indicators!$B35,$A$4:$A$9,0))</f>
        <v/>
      </c>
      <c r="E48" s="13">
        <f>INDEX($D$4:$D$9,MATCH(Indicators!$B35,$A$4:$A$9,0))/INDEX($G$4:$G$9,MATCH(Indicators!$B35,$A$4:$A$9,0))</f>
        <v/>
      </c>
      <c r="F48" s="13">
        <f>INDEX($E$4:$E$9,MATCH(Indicators!$B35,$A$4:$A$9,0))/INDEX($G$4:$G$9,MATCH(Indicators!$B35,$A$4:$A$9,0))</f>
        <v/>
      </c>
      <c r="G48" s="13">
        <f>INDEX($F$4:$F$9,MATCH(Indicators!$B35,$A$4:$A$9,0))/INDEX($G$4:$G$9,MATCH(Indicators!$B35,$A$4:$A$9,0))</f>
        <v/>
      </c>
    </row>
    <row r="49">
      <c r="A49" s="8">
        <f>Indicators!A36</f>
        <v/>
      </c>
      <c r="B49" s="12">
        <f>Indicators!C36&amp;" ("&amp;Indicators!B36&amp;")"</f>
        <v/>
      </c>
      <c r="C49" s="13">
        <f>INDEX($B$4:$B$9,MATCH(Indicators!$B36,$A$4:$A$9,0))/INDEX($G$4:$G$9,MATCH(Indicators!$B36,$A$4:$A$9,0))</f>
        <v/>
      </c>
      <c r="D49" s="13">
        <f>INDEX($C$4:$C$9,MATCH(Indicators!$B36,$A$4:$A$9,0))/INDEX($G$4:$G$9,MATCH(Indicators!$B36,$A$4:$A$9,0))</f>
        <v/>
      </c>
      <c r="E49" s="13">
        <f>INDEX($D$4:$D$9,MATCH(Indicators!$B36,$A$4:$A$9,0))/INDEX($G$4:$G$9,MATCH(Indicators!$B36,$A$4:$A$9,0))</f>
        <v/>
      </c>
      <c r="F49" s="13">
        <f>INDEX($E$4:$E$9,MATCH(Indicators!$B36,$A$4:$A$9,0))/INDEX($G$4:$G$9,MATCH(Indicators!$B36,$A$4:$A$9,0))</f>
        <v/>
      </c>
      <c r="G49" s="13">
        <f>INDEX($F$4:$F$9,MATCH(Indicators!$B36,$A$4:$A$9,0))/INDEX($G$4:$G$9,MATCH(Indicators!$B36,$A$4:$A$9,0))</f>
        <v/>
      </c>
    </row>
    <row r="50">
      <c r="A50" s="8">
        <f>Indicators!A37</f>
        <v/>
      </c>
      <c r="B50" s="12">
        <f>Indicators!C37&amp;" ("&amp;Indicators!B37&amp;")"</f>
        <v/>
      </c>
      <c r="C50" s="13">
        <f>INDEX($B$4:$B$9,MATCH(Indicators!$B37,$A$4:$A$9,0))/INDEX($G$4:$G$9,MATCH(Indicators!$B37,$A$4:$A$9,0))</f>
        <v/>
      </c>
      <c r="D50" s="13">
        <f>INDEX($C$4:$C$9,MATCH(Indicators!$B37,$A$4:$A$9,0))/INDEX($G$4:$G$9,MATCH(Indicators!$B37,$A$4:$A$9,0))</f>
        <v/>
      </c>
      <c r="E50" s="13">
        <f>INDEX($D$4:$D$9,MATCH(Indicators!$B37,$A$4:$A$9,0))/INDEX($G$4:$G$9,MATCH(Indicators!$B37,$A$4:$A$9,0))</f>
        <v/>
      </c>
      <c r="F50" s="13">
        <f>INDEX($E$4:$E$9,MATCH(Indicators!$B37,$A$4:$A$9,0))/INDEX($G$4:$G$9,MATCH(Indicators!$B37,$A$4:$A$9,0))</f>
        <v/>
      </c>
      <c r="G50" s="13">
        <f>INDEX($F$4:$F$9,MATCH(Indicators!$B37,$A$4:$A$9,0))/INDEX($G$4:$G$9,MATCH(Indicators!$B37,$A$4:$A$9,0))</f>
        <v/>
      </c>
    </row>
    <row r="51">
      <c r="A51" s="8">
        <f>Indicators!A38</f>
        <v/>
      </c>
      <c r="B51" s="12">
        <f>Indicators!C38&amp;" ("&amp;Indicators!B38&amp;")"</f>
        <v/>
      </c>
      <c r="C51" s="13">
        <f>INDEX($B$4:$B$9,MATCH(Indicators!$B38,$A$4:$A$9,0))/INDEX($G$4:$G$9,MATCH(Indicators!$B38,$A$4:$A$9,0))</f>
        <v/>
      </c>
      <c r="D51" s="13">
        <f>INDEX($C$4:$C$9,MATCH(Indicators!$B38,$A$4:$A$9,0))/INDEX($G$4:$G$9,MATCH(Indicators!$B38,$A$4:$A$9,0))</f>
        <v/>
      </c>
      <c r="E51" s="13">
        <f>INDEX($D$4:$D$9,MATCH(Indicators!$B38,$A$4:$A$9,0))/INDEX($G$4:$G$9,MATCH(Indicators!$B38,$A$4:$A$9,0))</f>
        <v/>
      </c>
      <c r="F51" s="13">
        <f>INDEX($E$4:$E$9,MATCH(Indicators!$B38,$A$4:$A$9,0))/INDEX($G$4:$G$9,MATCH(Indicators!$B38,$A$4:$A$9,0))</f>
        <v/>
      </c>
      <c r="G51" s="13">
        <f>INDEX($F$4:$F$9,MATCH(Indicators!$B38,$A$4:$A$9,0))/INDEX($G$4:$G$9,MATCH(Indicators!$B38,$A$4:$A$9,0))</f>
        <v/>
      </c>
    </row>
    <row r="52">
      <c r="A52" s="8">
        <f>Indicators!A39</f>
        <v/>
      </c>
      <c r="B52" s="12">
        <f>Indicators!C39&amp;" ("&amp;Indicators!B39&amp;")"</f>
        <v/>
      </c>
      <c r="C52" s="13">
        <f>INDEX($B$4:$B$9,MATCH(Indicators!$B39,$A$4:$A$9,0))/INDEX($G$4:$G$9,MATCH(Indicators!$B39,$A$4:$A$9,0))</f>
        <v/>
      </c>
      <c r="D52" s="13">
        <f>INDEX($C$4:$C$9,MATCH(Indicators!$B39,$A$4:$A$9,0))/INDEX($G$4:$G$9,MATCH(Indicators!$B39,$A$4:$A$9,0))</f>
        <v/>
      </c>
      <c r="E52" s="13">
        <f>INDEX($D$4:$D$9,MATCH(Indicators!$B39,$A$4:$A$9,0))/INDEX($G$4:$G$9,MATCH(Indicators!$B39,$A$4:$A$9,0))</f>
        <v/>
      </c>
      <c r="F52" s="13">
        <f>INDEX($E$4:$E$9,MATCH(Indicators!$B39,$A$4:$A$9,0))/INDEX($G$4:$G$9,MATCH(Indicators!$B39,$A$4:$A$9,0))</f>
        <v/>
      </c>
      <c r="G52" s="13">
        <f>INDEX($F$4:$F$9,MATCH(Indicators!$B39,$A$4:$A$9,0))/INDEX($G$4:$G$9,MATCH(Indicators!$B39,$A$4:$A$9,0))</f>
        <v/>
      </c>
    </row>
    <row r="53">
      <c r="A53" s="8">
        <f>Indicators!A40</f>
        <v/>
      </c>
      <c r="B53" s="12">
        <f>Indicators!C40&amp;" ("&amp;Indicators!B40&amp;")"</f>
        <v/>
      </c>
      <c r="C53" s="13">
        <f>INDEX($B$4:$B$9,MATCH(Indicators!$B40,$A$4:$A$9,0))/INDEX($G$4:$G$9,MATCH(Indicators!$B40,$A$4:$A$9,0))</f>
        <v/>
      </c>
      <c r="D53" s="13">
        <f>INDEX($C$4:$C$9,MATCH(Indicators!$B40,$A$4:$A$9,0))/INDEX($G$4:$G$9,MATCH(Indicators!$B40,$A$4:$A$9,0))</f>
        <v/>
      </c>
      <c r="E53" s="13">
        <f>INDEX($D$4:$D$9,MATCH(Indicators!$B40,$A$4:$A$9,0))/INDEX($G$4:$G$9,MATCH(Indicators!$B40,$A$4:$A$9,0))</f>
        <v/>
      </c>
      <c r="F53" s="13">
        <f>INDEX($E$4:$E$9,MATCH(Indicators!$B40,$A$4:$A$9,0))/INDEX($G$4:$G$9,MATCH(Indicators!$B40,$A$4:$A$9,0))</f>
        <v/>
      </c>
      <c r="G53" s="13">
        <f>INDEX($F$4:$F$9,MATCH(Indicators!$B40,$A$4:$A$9,0))/INDEX($G$4:$G$9,MATCH(Indicators!$B40,$A$4:$A$9,0))</f>
        <v/>
      </c>
    </row>
    <row r="54">
      <c r="A54" s="8">
        <f>Indicators!A41</f>
        <v/>
      </c>
      <c r="B54" s="12">
        <f>Indicators!C41&amp;" ("&amp;Indicators!B41&amp;")"</f>
        <v/>
      </c>
      <c r="C54" s="13">
        <f>INDEX($B$4:$B$9,MATCH(Indicators!$B41,$A$4:$A$9,0))/INDEX($G$4:$G$9,MATCH(Indicators!$B41,$A$4:$A$9,0))</f>
        <v/>
      </c>
      <c r="D54" s="13">
        <f>INDEX($C$4:$C$9,MATCH(Indicators!$B41,$A$4:$A$9,0))/INDEX($G$4:$G$9,MATCH(Indicators!$B41,$A$4:$A$9,0))</f>
        <v/>
      </c>
      <c r="E54" s="13">
        <f>INDEX($D$4:$D$9,MATCH(Indicators!$B41,$A$4:$A$9,0))/INDEX($G$4:$G$9,MATCH(Indicators!$B41,$A$4:$A$9,0))</f>
        <v/>
      </c>
      <c r="F54" s="13">
        <f>INDEX($E$4:$E$9,MATCH(Indicators!$B41,$A$4:$A$9,0))/INDEX($G$4:$G$9,MATCH(Indicators!$B41,$A$4:$A$9,0))</f>
        <v/>
      </c>
      <c r="G54" s="13">
        <f>INDEX($F$4:$F$9,MATCH(Indicators!$B41,$A$4:$A$9,0))/INDEX($G$4:$G$9,MATCH(Indicators!$B41,$A$4:$A$9,0))</f>
        <v/>
      </c>
    </row>
    <row r="55">
      <c r="A55" s="8">
        <f>Indicators!A42</f>
        <v/>
      </c>
      <c r="B55" s="12">
        <f>Indicators!C42&amp;" ("&amp;Indicators!B42&amp;")"</f>
        <v/>
      </c>
      <c r="C55" s="13">
        <f>INDEX($B$4:$B$9,MATCH(Indicators!$B42,$A$4:$A$9,0))/INDEX($G$4:$G$9,MATCH(Indicators!$B42,$A$4:$A$9,0))</f>
        <v/>
      </c>
      <c r="D55" s="13">
        <f>INDEX($C$4:$C$9,MATCH(Indicators!$B42,$A$4:$A$9,0))/INDEX($G$4:$G$9,MATCH(Indicators!$B42,$A$4:$A$9,0))</f>
        <v/>
      </c>
      <c r="E55" s="13">
        <f>INDEX($D$4:$D$9,MATCH(Indicators!$B42,$A$4:$A$9,0))/INDEX($G$4:$G$9,MATCH(Indicators!$B42,$A$4:$A$9,0))</f>
        <v/>
      </c>
      <c r="F55" s="13">
        <f>INDEX($E$4:$E$9,MATCH(Indicators!$B42,$A$4:$A$9,0))/INDEX($G$4:$G$9,MATCH(Indicators!$B42,$A$4:$A$9,0))</f>
        <v/>
      </c>
      <c r="G55" s="13">
        <f>INDEX($F$4:$F$9,MATCH(Indicators!$B42,$A$4:$A$9,0))/INDEX($G$4:$G$9,MATCH(Indicators!$B42,$A$4:$A$9,0))</f>
        <v/>
      </c>
    </row>
    <row r="56">
      <c r="A56" s="8">
        <f>Indicators!A43</f>
        <v/>
      </c>
      <c r="B56" s="12">
        <f>Indicators!C43&amp;" ("&amp;Indicators!B43&amp;")"</f>
        <v/>
      </c>
      <c r="C56" s="13">
        <f>INDEX($B$4:$B$9,MATCH(Indicators!$B43,$A$4:$A$9,0))/INDEX($G$4:$G$9,MATCH(Indicators!$B43,$A$4:$A$9,0))</f>
        <v/>
      </c>
      <c r="D56" s="13">
        <f>INDEX($C$4:$C$9,MATCH(Indicators!$B43,$A$4:$A$9,0))/INDEX($G$4:$G$9,MATCH(Indicators!$B43,$A$4:$A$9,0))</f>
        <v/>
      </c>
      <c r="E56" s="13">
        <f>INDEX($D$4:$D$9,MATCH(Indicators!$B43,$A$4:$A$9,0))/INDEX($G$4:$G$9,MATCH(Indicators!$B43,$A$4:$A$9,0))</f>
        <v/>
      </c>
      <c r="F56" s="13">
        <f>INDEX($E$4:$E$9,MATCH(Indicators!$B43,$A$4:$A$9,0))/INDEX($G$4:$G$9,MATCH(Indicators!$B43,$A$4:$A$9,0))</f>
        <v/>
      </c>
      <c r="G56" s="13">
        <f>INDEX($F$4:$F$9,MATCH(Indicators!$B43,$A$4:$A$9,0))/INDEX($G$4:$G$9,MATCH(Indicators!$B43,$A$4:$A$9,0))</f>
        <v/>
      </c>
    </row>
    <row r="57">
      <c r="A57" s="8">
        <f>Indicators!A44</f>
        <v/>
      </c>
      <c r="B57" s="12">
        <f>Indicators!C44&amp;" ("&amp;Indicators!B44&amp;")"</f>
        <v/>
      </c>
      <c r="C57" s="13">
        <f>INDEX($B$4:$B$9,MATCH(Indicators!$B44,$A$4:$A$9,0))/INDEX($G$4:$G$9,MATCH(Indicators!$B44,$A$4:$A$9,0))</f>
        <v/>
      </c>
      <c r="D57" s="13">
        <f>INDEX($C$4:$C$9,MATCH(Indicators!$B44,$A$4:$A$9,0))/INDEX($G$4:$G$9,MATCH(Indicators!$B44,$A$4:$A$9,0))</f>
        <v/>
      </c>
      <c r="E57" s="13">
        <f>INDEX($D$4:$D$9,MATCH(Indicators!$B44,$A$4:$A$9,0))/INDEX($G$4:$G$9,MATCH(Indicators!$B44,$A$4:$A$9,0))</f>
        <v/>
      </c>
      <c r="F57" s="13">
        <f>INDEX($E$4:$E$9,MATCH(Indicators!$B44,$A$4:$A$9,0))/INDEX($G$4:$G$9,MATCH(Indicators!$B44,$A$4:$A$9,0))</f>
        <v/>
      </c>
      <c r="G57" s="13">
        <f>INDEX($F$4:$F$9,MATCH(Indicators!$B44,$A$4:$A$9,0))/INDEX($G$4:$G$9,MATCH(Indicators!$B44,$A$4:$A$9,0))</f>
        <v/>
      </c>
    </row>
    <row r="58">
      <c r="A58" s="8">
        <f>Indicators!A45</f>
        <v/>
      </c>
      <c r="B58" s="12">
        <f>Indicators!C45&amp;" ("&amp;Indicators!B45&amp;")"</f>
        <v/>
      </c>
      <c r="C58" s="13">
        <f>INDEX($B$4:$B$9,MATCH(Indicators!$B45,$A$4:$A$9,0))/INDEX($G$4:$G$9,MATCH(Indicators!$B45,$A$4:$A$9,0))</f>
        <v/>
      </c>
      <c r="D58" s="13">
        <f>INDEX($C$4:$C$9,MATCH(Indicators!$B45,$A$4:$A$9,0))/INDEX($G$4:$G$9,MATCH(Indicators!$B45,$A$4:$A$9,0))</f>
        <v/>
      </c>
      <c r="E58" s="13">
        <f>INDEX($D$4:$D$9,MATCH(Indicators!$B45,$A$4:$A$9,0))/INDEX($G$4:$G$9,MATCH(Indicators!$B45,$A$4:$A$9,0))</f>
        <v/>
      </c>
      <c r="F58" s="13">
        <f>INDEX($E$4:$E$9,MATCH(Indicators!$B45,$A$4:$A$9,0))/INDEX($G$4:$G$9,MATCH(Indicators!$B45,$A$4:$A$9,0))</f>
        <v/>
      </c>
      <c r="G58" s="13">
        <f>INDEX($F$4:$F$9,MATCH(Indicators!$B45,$A$4:$A$9,0))/INDEX($G$4:$G$9,MATCH(Indicators!$B45,$A$4:$A$9,0))</f>
        <v/>
      </c>
    </row>
    <row r="59">
      <c r="A59" s="8">
        <f>Indicators!A46</f>
        <v/>
      </c>
      <c r="B59" s="12">
        <f>Indicators!C46&amp;" ("&amp;Indicators!B46&amp;")"</f>
        <v/>
      </c>
      <c r="C59" s="13">
        <f>INDEX($B$4:$B$9,MATCH(Indicators!$B46,$A$4:$A$9,0))/INDEX($G$4:$G$9,MATCH(Indicators!$B46,$A$4:$A$9,0))</f>
        <v/>
      </c>
      <c r="D59" s="13">
        <f>INDEX($C$4:$C$9,MATCH(Indicators!$B46,$A$4:$A$9,0))/INDEX($G$4:$G$9,MATCH(Indicators!$B46,$A$4:$A$9,0))</f>
        <v/>
      </c>
      <c r="E59" s="13">
        <f>INDEX($D$4:$D$9,MATCH(Indicators!$B46,$A$4:$A$9,0))/INDEX($G$4:$G$9,MATCH(Indicators!$B46,$A$4:$A$9,0))</f>
        <v/>
      </c>
      <c r="F59" s="13">
        <f>INDEX($E$4:$E$9,MATCH(Indicators!$B46,$A$4:$A$9,0))/INDEX($G$4:$G$9,MATCH(Indicators!$B46,$A$4:$A$9,0))</f>
        <v/>
      </c>
      <c r="G59" s="13">
        <f>INDEX($F$4:$F$9,MATCH(Indicators!$B46,$A$4:$A$9,0))/INDEX($G$4:$G$9,MATCH(Indicators!$B46,$A$4:$A$9,0))</f>
        <v/>
      </c>
    </row>
    <row r="60">
      <c r="A60" s="8">
        <f>Indicators!A47</f>
        <v/>
      </c>
      <c r="B60" s="12">
        <f>Indicators!C47&amp;" ("&amp;Indicators!B47&amp;")"</f>
        <v/>
      </c>
      <c r="C60" s="13">
        <f>INDEX($B$4:$B$9,MATCH(Indicators!$B47,$A$4:$A$9,0))/INDEX($G$4:$G$9,MATCH(Indicators!$B47,$A$4:$A$9,0))</f>
        <v/>
      </c>
      <c r="D60" s="13">
        <f>INDEX($C$4:$C$9,MATCH(Indicators!$B47,$A$4:$A$9,0))/INDEX($G$4:$G$9,MATCH(Indicators!$B47,$A$4:$A$9,0))</f>
        <v/>
      </c>
      <c r="E60" s="13">
        <f>INDEX($D$4:$D$9,MATCH(Indicators!$B47,$A$4:$A$9,0))/INDEX($G$4:$G$9,MATCH(Indicators!$B47,$A$4:$A$9,0))</f>
        <v/>
      </c>
      <c r="F60" s="13">
        <f>INDEX($E$4:$E$9,MATCH(Indicators!$B47,$A$4:$A$9,0))/INDEX($G$4:$G$9,MATCH(Indicators!$B47,$A$4:$A$9,0))</f>
        <v/>
      </c>
      <c r="G60" s="13">
        <f>INDEX($F$4:$F$9,MATCH(Indicators!$B47,$A$4:$A$9,0))/INDEX($G$4:$G$9,MATCH(Indicators!$B47,$A$4:$A$9,0))</f>
        <v/>
      </c>
    </row>
    <row r="61">
      <c r="A61" s="8">
        <f>Indicators!A48</f>
        <v/>
      </c>
      <c r="B61" s="12">
        <f>Indicators!C48&amp;" ("&amp;Indicators!B48&amp;")"</f>
        <v/>
      </c>
      <c r="C61" s="13">
        <f>INDEX($B$4:$B$9,MATCH(Indicators!$B48,$A$4:$A$9,0))/INDEX($G$4:$G$9,MATCH(Indicators!$B48,$A$4:$A$9,0))</f>
        <v/>
      </c>
      <c r="D61" s="13">
        <f>INDEX($C$4:$C$9,MATCH(Indicators!$B48,$A$4:$A$9,0))/INDEX($G$4:$G$9,MATCH(Indicators!$B48,$A$4:$A$9,0))</f>
        <v/>
      </c>
      <c r="E61" s="13">
        <f>INDEX($D$4:$D$9,MATCH(Indicators!$B48,$A$4:$A$9,0))/INDEX($G$4:$G$9,MATCH(Indicators!$B48,$A$4:$A$9,0))</f>
        <v/>
      </c>
      <c r="F61" s="13">
        <f>INDEX($E$4:$E$9,MATCH(Indicators!$B48,$A$4:$A$9,0))/INDEX($G$4:$G$9,MATCH(Indicators!$B48,$A$4:$A$9,0))</f>
        <v/>
      </c>
      <c r="G61" s="13">
        <f>INDEX($F$4:$F$9,MATCH(Indicators!$B48,$A$4:$A$9,0))/INDEX($G$4:$G$9,MATCH(Indicators!$B48,$A$4:$A$9,0))</f>
        <v/>
      </c>
    </row>
    <row r="62">
      <c r="B62" s="6" t="inlineStr">
        <is>
          <t>Sum</t>
        </is>
      </c>
      <c r="C62" s="14">
        <f>SUM(C17:C61)</f>
        <v/>
      </c>
      <c r="D62" s="14">
        <f>SUM(D17:D61)</f>
        <v/>
      </c>
      <c r="E62" s="14">
        <f>SUM(E17:E61)</f>
        <v/>
      </c>
      <c r="F62" s="14">
        <f>SUM(F17:F61)</f>
        <v/>
      </c>
      <c r="G62" s="14">
        <f>SUM(G17:G61)</f>
        <v/>
      </c>
    </row>
  </sheetData>
  <sheetProtection selectLockedCells="0" selectUnlockedCells="0" sheet="1" objects="0" insertRows="1" insertHyperlinks="1" autoFilter="1" scenarios="0" formatColumns="0" deleteColumns="1" insertColumns="1" pivotTables="1" deleteRows="1" formatCells="1" formatRows="0" sort="1"/>
  <mergeCells count="1">
    <mergeCell ref="A12:G1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8"/>
  <sheetViews>
    <sheetView showGridLines="0" workbookViewId="0">
      <pane ySplit="3" topLeftCell="A4" activePane="bottomLeft" state="frozen"/>
      <selection pane="bottomLeft" activeCell="A1" sqref="A1"/>
    </sheetView>
  </sheetViews>
  <sheetFormatPr baseColWidth="8" defaultRowHeight="15"/>
  <cols>
    <col width="7" customWidth="1" min="1" max="1"/>
    <col width="16" customWidth="1" min="2" max="2"/>
    <col width="46" customWidth="1" min="3" max="3"/>
    <col width="22" customWidth="1" min="4" max="4"/>
    <col width="26" customWidth="1" min="5" max="5"/>
    <col width="16" customWidth="1" min="6" max="6"/>
    <col width="44" customWidth="1" min="7" max="7"/>
    <col width="13" customWidth="1" min="8" max="8"/>
  </cols>
  <sheetData>
    <row r="1">
      <c r="A1" s="1" t="inlineStr">
        <is>
          <t>Common indicators, grouped by PESTEL dimension</t>
        </is>
      </c>
    </row>
    <row r="2">
      <c r="A2" s="2" t="inlineStr">
        <is>
          <t>Proposed by the instructor from the group shortlists. Same for all groups.</t>
        </is>
      </c>
    </row>
    <row r="3">
      <c r="A3" s="5" t="inlineStr">
        <is>
          <t>ID</t>
        </is>
      </c>
      <c r="B3" s="5" t="inlineStr">
        <is>
          <t>PESTEL dimension</t>
        </is>
      </c>
      <c r="C3" s="5" t="inlineStr">
        <is>
          <t>Indicator</t>
        </is>
      </c>
      <c r="D3" s="5" t="inlineStr">
        <is>
          <t>Julius Meinl dimension</t>
        </is>
      </c>
      <c r="E3" s="5" t="inlineStr">
        <is>
          <t>Unit</t>
        </is>
      </c>
      <c r="F3" s="5" t="inlineStr">
        <is>
          <t>Direction</t>
        </is>
      </c>
      <c r="G3" s="5" t="inlineStr">
        <is>
          <t>Source</t>
        </is>
      </c>
      <c r="H3" s="5" t="inlineStr">
        <is>
          <t>Type</t>
        </is>
      </c>
    </row>
    <row r="4">
      <c r="A4" s="9" t="inlineStr">
        <is>
          <t>P1</t>
        </is>
      </c>
      <c r="B4" s="15" t="inlineStr">
        <is>
          <t>Political</t>
        </is>
      </c>
      <c r="C4" s="15" t="inlineStr">
        <is>
          <t>Political stability and absence of violence</t>
        </is>
      </c>
      <c r="D4" s="15" t="inlineStr">
        <is>
          <t>Country risk</t>
        </is>
      </c>
      <c r="E4" s="15" t="inlineStr">
        <is>
          <t>Estimate, about -2.5 to 2.5</t>
        </is>
      </c>
      <c r="F4" s="15" t="inlineStr">
        <is>
          <t>Higher is better</t>
        </is>
      </c>
      <c r="G4" s="15" t="inlineStr">
        <is>
          <t>Worldwide Governance Indicators, World Bank</t>
        </is>
      </c>
      <c r="H4" s="15" t="inlineStr">
        <is>
          <t>Quantitative</t>
        </is>
      </c>
    </row>
    <row r="5">
      <c r="A5" s="9" t="inlineStr">
        <is>
          <t>P2</t>
        </is>
      </c>
      <c r="B5" s="15" t="inlineStr">
        <is>
          <t>Political</t>
        </is>
      </c>
      <c r="C5" s="15" t="inlineStr">
        <is>
          <t>Government effectiveness</t>
        </is>
      </c>
      <c r="D5" s="15" t="inlineStr">
        <is>
          <t>Import and regulation</t>
        </is>
      </c>
      <c r="E5" s="15" t="inlineStr">
        <is>
          <t>Estimate, about -2.5 to 2.5</t>
        </is>
      </c>
      <c r="F5" s="15" t="inlineStr">
        <is>
          <t>Higher is better</t>
        </is>
      </c>
      <c r="G5" s="15" t="inlineStr">
        <is>
          <t>Worldwide Governance Indicators, World Bank</t>
        </is>
      </c>
      <c r="H5" s="15" t="inlineStr">
        <is>
          <t>Quantitative</t>
        </is>
      </c>
    </row>
    <row r="6">
      <c r="A6" s="9" t="inlineStr">
        <is>
          <t>P3</t>
        </is>
      </c>
      <c r="B6" s="15" t="inlineStr">
        <is>
          <t>Political</t>
        </is>
      </c>
      <c r="C6" s="15" t="inlineStr">
        <is>
          <t>Corruption Perceptions Index</t>
        </is>
      </c>
      <c r="D6" s="15" t="inlineStr">
        <is>
          <t>Country risk</t>
        </is>
      </c>
      <c r="E6" s="15" t="inlineStr">
        <is>
          <t>Score 0 (very corrupt) to 100 (very clean)</t>
        </is>
      </c>
      <c r="F6" s="15" t="inlineStr">
        <is>
          <t>Higher is better</t>
        </is>
      </c>
      <c r="G6" s="15" t="inlineStr">
        <is>
          <t>Transparency International</t>
        </is>
      </c>
      <c r="H6" s="15" t="inlineStr">
        <is>
          <t>Quantitative</t>
        </is>
      </c>
    </row>
    <row r="7">
      <c r="A7" s="9" t="inlineStr">
        <is>
          <t>P4</t>
        </is>
      </c>
      <c r="B7" s="15" t="inlineStr">
        <is>
          <t>Political</t>
        </is>
      </c>
      <c r="C7" s="15" t="inlineStr">
        <is>
          <t>Country risk rating</t>
        </is>
      </c>
      <c r="D7" s="15" t="inlineStr">
        <is>
          <t>Country risk</t>
        </is>
      </c>
      <c r="E7" s="15" t="inlineStr">
        <is>
          <t>Coface rating converted: A1=8, A2=7, A3=6, A4=5, B=4, C=3, D=2, E=1</t>
        </is>
      </c>
      <c r="F7" s="15" t="inlineStr">
        <is>
          <t>Higher is better</t>
        </is>
      </c>
      <c r="G7" s="15" t="inlineStr">
        <is>
          <t>Coface country risk assessments</t>
        </is>
      </c>
      <c r="H7" s="15" t="inlineStr">
        <is>
          <t>Quantitative</t>
        </is>
      </c>
    </row>
    <row r="8">
      <c r="A8" s="9" t="inlineStr">
        <is>
          <t>P5</t>
        </is>
      </c>
      <c r="B8" s="15" t="inlineStr">
        <is>
          <t>Political</t>
        </is>
      </c>
      <c r="C8" s="15" t="inlineStr">
        <is>
          <t>Trade agreement between the EU and the country</t>
        </is>
      </c>
      <c r="D8" s="15" t="inlineStr">
        <is>
          <t>Import and regulation</t>
        </is>
      </c>
      <c r="E8" s="15" t="inlineStr">
        <is>
          <t>Score 1 to 5 (rubric A)</t>
        </is>
      </c>
      <c r="F8" s="15" t="inlineStr">
        <is>
          <t>Higher is better</t>
        </is>
      </c>
      <c r="G8" s="15" t="inlineStr">
        <is>
          <t>EU Access2Markets</t>
        </is>
      </c>
      <c r="H8" s="15" t="inlineStr">
        <is>
          <t>Rubric</t>
        </is>
      </c>
    </row>
    <row r="9">
      <c r="A9" s="9" t="inlineStr">
        <is>
          <t>E1</t>
        </is>
      </c>
      <c r="B9" s="15" t="inlineStr">
        <is>
          <t>Economic</t>
        </is>
      </c>
      <c r="C9" s="15" t="inlineStr">
        <is>
          <t>GDP per capita, PPP</t>
        </is>
      </c>
      <c r="D9" s="15" t="inlineStr">
        <is>
          <t>Purchasing power</t>
        </is>
      </c>
      <c r="E9" s="15" t="inlineStr">
        <is>
          <t>International dollars</t>
        </is>
      </c>
      <c r="F9" s="15" t="inlineStr">
        <is>
          <t>Higher is better</t>
        </is>
      </c>
      <c r="G9" s="15" t="inlineStr">
        <is>
          <t>World Development Indicators, World Bank</t>
        </is>
      </c>
      <c r="H9" s="15" t="inlineStr">
        <is>
          <t>Quantitative</t>
        </is>
      </c>
    </row>
    <row r="10">
      <c r="A10" s="9" t="inlineStr">
        <is>
          <t>E2</t>
        </is>
      </c>
      <c r="B10" s="15" t="inlineStr">
        <is>
          <t>Economic</t>
        </is>
      </c>
      <c r="C10" s="15" t="inlineStr">
        <is>
          <t>GDP growth, projected average of next 3 years</t>
        </is>
      </c>
      <c r="D10" s="15" t="inlineStr">
        <is>
          <t>Premium coffee segment</t>
        </is>
      </c>
      <c r="E10" s="15" t="inlineStr">
        <is>
          <t>% per year</t>
        </is>
      </c>
      <c r="F10" s="15" t="inlineStr">
        <is>
          <t>Higher is better</t>
        </is>
      </c>
      <c r="G10" s="15" t="inlineStr">
        <is>
          <t>World Economic Outlook, IMF</t>
        </is>
      </c>
      <c r="H10" s="15" t="inlineStr">
        <is>
          <t>Quantitative</t>
        </is>
      </c>
    </row>
    <row r="11">
      <c r="A11" s="9" t="inlineStr">
        <is>
          <t>E3</t>
        </is>
      </c>
      <c r="B11" s="15" t="inlineStr">
        <is>
          <t>Economic</t>
        </is>
      </c>
      <c r="C11" s="15" t="inlineStr">
        <is>
          <t>Household final consumption expenditure per capita</t>
        </is>
      </c>
      <c r="D11" s="15" t="inlineStr">
        <is>
          <t>Premium coffee segment</t>
        </is>
      </c>
      <c r="E11" s="15" t="inlineStr">
        <is>
          <t>US dollars</t>
        </is>
      </c>
      <c r="F11" s="15" t="inlineStr">
        <is>
          <t>Higher is better</t>
        </is>
      </c>
      <c r="G11" s="15" t="inlineStr">
        <is>
          <t>World Development Indicators, World Bank</t>
        </is>
      </c>
      <c r="H11" s="15" t="inlineStr">
        <is>
          <t>Quantitative</t>
        </is>
      </c>
    </row>
    <row r="12">
      <c r="A12" s="9" t="inlineStr">
        <is>
          <t>E4</t>
        </is>
      </c>
      <c r="B12" s="15" t="inlineStr">
        <is>
          <t>Economic</t>
        </is>
      </c>
      <c r="C12" s="15" t="inlineStr">
        <is>
          <t>Inflation, consumer prices</t>
        </is>
      </c>
      <c r="D12" s="15" t="inlineStr">
        <is>
          <t>Purchasing power</t>
        </is>
      </c>
      <c r="E12" s="15" t="inlineStr">
        <is>
          <t>% per year</t>
        </is>
      </c>
      <c r="F12" s="15" t="inlineStr">
        <is>
          <t>Lower is better</t>
        </is>
      </c>
      <c r="G12" s="15" t="inlineStr">
        <is>
          <t>World Development Indicators, World Bank</t>
        </is>
      </c>
      <c r="H12" s="15" t="inlineStr">
        <is>
          <t>Quantitative</t>
        </is>
      </c>
    </row>
    <row r="13">
      <c r="A13" s="9" t="inlineStr">
        <is>
          <t>E5</t>
        </is>
      </c>
      <c r="B13" s="15" t="inlineStr">
        <is>
          <t>Economic</t>
        </is>
      </c>
      <c r="C13" s="15" t="inlineStr">
        <is>
          <t>Income inequality (Gini index)</t>
        </is>
      </c>
      <c r="D13" s="15" t="inlineStr">
        <is>
          <t>Purchasing power</t>
        </is>
      </c>
      <c r="E13" s="15" t="inlineStr">
        <is>
          <t>Index 0 to 100</t>
        </is>
      </c>
      <c r="F13" s="15" t="inlineStr">
        <is>
          <t>Lower is better</t>
        </is>
      </c>
      <c r="G13" s="15" t="inlineStr">
        <is>
          <t>World Development Indicators, World Bank (latest year available)</t>
        </is>
      </c>
      <c r="H13" s="15" t="inlineStr">
        <is>
          <t>Quantitative</t>
        </is>
      </c>
    </row>
    <row r="14">
      <c r="A14" s="9" t="inlineStr">
        <is>
          <t>E6</t>
        </is>
      </c>
      <c r="B14" s="15" t="inlineStr">
        <is>
          <t>Economic</t>
        </is>
      </c>
      <c r="C14" s="15" t="inlineStr">
        <is>
          <t>Official exchange rate change against the US dollar (absolute, last 3 years)</t>
        </is>
      </c>
      <c r="D14" s="15" t="inlineStr">
        <is>
          <t>Purchasing power</t>
        </is>
      </c>
      <c r="E14" s="15" t="inlineStr">
        <is>
          <t>% (absolute value)</t>
        </is>
      </c>
      <c r="F14" s="15" t="inlineStr">
        <is>
          <t>Lower is better</t>
        </is>
      </c>
      <c r="G14" s="15" t="inlineStr">
        <is>
          <t>World Development Indicators, World Bank</t>
        </is>
      </c>
      <c r="H14" s="15" t="inlineStr">
        <is>
          <t>Quantitative</t>
        </is>
      </c>
    </row>
    <row r="15">
      <c r="A15" s="9" t="inlineStr">
        <is>
          <t>E7</t>
        </is>
      </c>
      <c r="B15" s="15" t="inlineStr">
        <is>
          <t>Economic</t>
        </is>
      </c>
      <c r="C15" s="15" t="inlineStr">
        <is>
          <t>Population</t>
        </is>
      </c>
      <c r="D15" s="15" t="inlineStr">
        <is>
          <t>Premium coffee segment</t>
        </is>
      </c>
      <c r="E15" s="15" t="inlineStr">
        <is>
          <t>Million people</t>
        </is>
      </c>
      <c r="F15" s="15" t="inlineStr">
        <is>
          <t>Higher is better</t>
        </is>
      </c>
      <c r="G15" s="15" t="inlineStr">
        <is>
          <t>World Development Indicators, World Bank</t>
        </is>
      </c>
      <c r="H15" s="15" t="inlineStr">
        <is>
          <t>Quantitative</t>
        </is>
      </c>
    </row>
    <row r="16">
      <c r="A16" s="9" t="inlineStr">
        <is>
          <t>E8</t>
        </is>
      </c>
      <c r="B16" s="15" t="inlineStr">
        <is>
          <t>Economic</t>
        </is>
      </c>
      <c r="C16" s="15" t="inlineStr">
        <is>
          <t>International tourism, receipts</t>
        </is>
      </c>
      <c r="D16" s="15" t="inlineStr">
        <is>
          <t>Tourism and hotels</t>
        </is>
      </c>
      <c r="E16" s="15" t="inlineStr">
        <is>
          <t>US dollars</t>
        </is>
      </c>
      <c r="F16" s="15" t="inlineStr">
        <is>
          <t>Higher is better</t>
        </is>
      </c>
      <c r="G16" s="15" t="inlineStr">
        <is>
          <t>World Development Indicators, World Bank</t>
        </is>
      </c>
      <c r="H16" s="15" t="inlineStr">
        <is>
          <t>Quantitative</t>
        </is>
      </c>
    </row>
    <row r="17">
      <c r="A17" s="9" t="inlineStr">
        <is>
          <t>E9</t>
        </is>
      </c>
      <c r="B17" s="15" t="inlineStr">
        <is>
          <t>Economic</t>
        </is>
      </c>
      <c r="C17" s="15" t="inlineStr">
        <is>
          <t>Coffee imports (HS 0901), value</t>
        </is>
      </c>
      <c r="D17" s="15" t="inlineStr">
        <is>
          <t>Premium coffee segment</t>
        </is>
      </c>
      <c r="E17" s="15" t="inlineStr">
        <is>
          <t>US dollars</t>
        </is>
      </c>
      <c r="F17" s="15" t="inlineStr">
        <is>
          <t>Higher is better</t>
        </is>
      </c>
      <c r="G17" s="15" t="inlineStr">
        <is>
          <t>ITC Trade Map; UN Comtrade</t>
        </is>
      </c>
      <c r="H17" s="15" t="inlineStr">
        <is>
          <t>Quantitative</t>
        </is>
      </c>
    </row>
    <row r="18">
      <c r="A18" s="9" t="inlineStr">
        <is>
          <t>E10</t>
        </is>
      </c>
      <c r="B18" s="15" t="inlineStr">
        <is>
          <t>Economic</t>
        </is>
      </c>
      <c r="C18" s="15" t="inlineStr">
        <is>
          <t>Applied tariff on roasted coffee (HS 0901.21), EU origin</t>
        </is>
      </c>
      <c r="D18" s="15" t="inlineStr">
        <is>
          <t>Import and regulation</t>
        </is>
      </c>
      <c r="E18" s="15" t="inlineStr">
        <is>
          <t>%</t>
        </is>
      </c>
      <c r="F18" s="15" t="inlineStr">
        <is>
          <t>Lower is better</t>
        </is>
      </c>
      <c r="G18" s="15" t="inlineStr">
        <is>
          <t>EU Access2Markets; WTO tariff data</t>
        </is>
      </c>
      <c r="H18" s="15" t="inlineStr">
        <is>
          <t>Quantitative</t>
        </is>
      </c>
    </row>
    <row r="19">
      <c r="A19" s="9" t="inlineStr">
        <is>
          <t>S1</t>
        </is>
      </c>
      <c r="B19" s="15" t="inlineStr">
        <is>
          <t>Social</t>
        </is>
      </c>
      <c r="C19" s="15" t="inlineStr">
        <is>
          <t>Coffee consumption per capita</t>
        </is>
      </c>
      <c r="D19" s="15" t="inlineStr">
        <is>
          <t>Coffee culture</t>
        </is>
      </c>
      <c r="E19" s="15" t="inlineStr">
        <is>
          <t>Kg per person (check unit)</t>
        </is>
      </c>
      <c r="F19" s="15" t="inlineStr">
        <is>
          <t>Higher is better</t>
        </is>
      </c>
      <c r="G19" s="15" t="inlineStr">
        <is>
          <t>International Coffee Organization</t>
        </is>
      </c>
      <c r="H19" s="15" t="inlineStr">
        <is>
          <t>Quantitative</t>
        </is>
      </c>
    </row>
    <row r="20">
      <c r="A20" s="9" t="inlineStr">
        <is>
          <t>S2</t>
        </is>
      </c>
      <c r="B20" s="15" t="inlineStr">
        <is>
          <t>Social</t>
        </is>
      </c>
      <c r="C20" s="15" t="inlineStr">
        <is>
          <t>International tourist arrivals</t>
        </is>
      </c>
      <c r="D20" s="15" t="inlineStr">
        <is>
          <t>Tourism and hotels</t>
        </is>
      </c>
      <c r="E20" s="15" t="inlineStr">
        <is>
          <t>Number of arrivals</t>
        </is>
      </c>
      <c r="F20" s="15" t="inlineStr">
        <is>
          <t>Higher is better</t>
        </is>
      </c>
      <c r="G20" s="15" t="inlineStr">
        <is>
          <t>World Development Indicators (UN Tourism data)</t>
        </is>
      </c>
      <c r="H20" s="15" t="inlineStr">
        <is>
          <t>Quantitative</t>
        </is>
      </c>
    </row>
    <row r="21">
      <c r="A21" s="9" t="inlineStr">
        <is>
          <t>S3</t>
        </is>
      </c>
      <c r="B21" s="15" t="inlineStr">
        <is>
          <t>Social</t>
        </is>
      </c>
      <c r="C21" s="15" t="inlineStr">
        <is>
          <t>Share of visitors from Europe</t>
        </is>
      </c>
      <c r="D21" s="15" t="inlineStr">
        <is>
          <t>Tourism and hotels</t>
        </is>
      </c>
      <c r="E21" s="15" t="inlineStr">
        <is>
          <t>% of arrivals</t>
        </is>
      </c>
      <c r="F21" s="15" t="inlineStr">
        <is>
          <t>Higher is better</t>
        </is>
      </c>
      <c r="G21" s="15" t="inlineStr">
        <is>
          <t>National tourism statistics</t>
        </is>
      </c>
      <c r="H21" s="15" t="inlineStr">
        <is>
          <t>Quantitative</t>
        </is>
      </c>
    </row>
    <row r="22">
      <c r="A22" s="9" t="inlineStr">
        <is>
          <t>S4</t>
        </is>
      </c>
      <c r="B22" s="15" t="inlineStr">
        <is>
          <t>Social</t>
        </is>
      </c>
      <c r="C22" s="15" t="inlineStr">
        <is>
          <t>Urban population share</t>
        </is>
      </c>
      <c r="D22" s="15" t="inlineStr">
        <is>
          <t>Premium coffee segment</t>
        </is>
      </c>
      <c r="E22" s="15" t="inlineStr">
        <is>
          <t>% of population</t>
        </is>
      </c>
      <c r="F22" s="15" t="inlineStr">
        <is>
          <t>Higher is better</t>
        </is>
      </c>
      <c r="G22" s="15" t="inlineStr">
        <is>
          <t>World Development Indicators, World Bank</t>
        </is>
      </c>
      <c r="H22" s="15" t="inlineStr">
        <is>
          <t>Quantitative</t>
        </is>
      </c>
    </row>
    <row r="23">
      <c r="A23" s="9" t="inlineStr">
        <is>
          <t>S5</t>
        </is>
      </c>
      <c r="B23" s="15" t="inlineStr">
        <is>
          <t>Social</t>
        </is>
      </c>
      <c r="C23" s="15" t="inlineStr">
        <is>
          <t>Cafe culture</t>
        </is>
      </c>
      <c r="D23" s="15" t="inlineStr">
        <is>
          <t>Coffee culture</t>
        </is>
      </c>
      <c r="E23" s="15" t="inlineStr">
        <is>
          <t>Score 1 to 5 (rubric B)</t>
        </is>
      </c>
      <c r="F23" s="15" t="inlineStr">
        <is>
          <t>Higher is better</t>
        </is>
      </c>
      <c r="G23" s="15" t="inlineStr">
        <is>
          <t>Own assessment with sources</t>
        </is>
      </c>
      <c r="H23" s="15" t="inlineStr">
        <is>
          <t>Rubric</t>
        </is>
      </c>
    </row>
    <row r="24">
      <c r="A24" s="9" t="inlineStr">
        <is>
          <t>S6</t>
        </is>
      </c>
      <c r="B24" s="15" t="inlineStr">
        <is>
          <t>Social</t>
        </is>
      </c>
      <c r="C24" s="15" t="inlineStr">
        <is>
          <t>European influence on coffee culture</t>
        </is>
      </c>
      <c r="D24" s="15" t="inlineStr">
        <is>
          <t>Coffee culture</t>
        </is>
      </c>
      <c r="E24" s="15" t="inlineStr">
        <is>
          <t>Score 1 to 5 (rubric C)</t>
        </is>
      </c>
      <c r="F24" s="15" t="inlineStr">
        <is>
          <t>Higher is better</t>
        </is>
      </c>
      <c r="G24" s="15" t="inlineStr">
        <is>
          <t>Own assessment with sources</t>
        </is>
      </c>
      <c r="H24" s="15" t="inlineStr">
        <is>
          <t>Rubric</t>
        </is>
      </c>
    </row>
    <row r="25">
      <c r="A25" s="9" t="inlineStr">
        <is>
          <t>S7</t>
        </is>
      </c>
      <c r="B25" s="15" t="inlineStr">
        <is>
          <t>Social</t>
        </is>
      </c>
      <c r="C25" s="15" t="inlineStr">
        <is>
          <t>Human Development Index</t>
        </is>
      </c>
      <c r="D25" s="15" t="inlineStr">
        <is>
          <t>Purchasing power</t>
        </is>
      </c>
      <c r="E25" s="15" t="inlineStr">
        <is>
          <t>Index 0 to 1</t>
        </is>
      </c>
      <c r="F25" s="15" t="inlineStr">
        <is>
          <t>Higher is better</t>
        </is>
      </c>
      <c r="G25" s="15" t="inlineStr">
        <is>
          <t>UNDP Human Development Report</t>
        </is>
      </c>
      <c r="H25" s="15" t="inlineStr">
        <is>
          <t>Quantitative</t>
        </is>
      </c>
    </row>
    <row r="26">
      <c r="A26" s="9" t="inlineStr">
        <is>
          <t>S8</t>
        </is>
      </c>
      <c r="B26" s="15" t="inlineStr">
        <is>
          <t>Social</t>
        </is>
      </c>
      <c r="C26" s="15" t="inlineStr">
        <is>
          <t>Specialty cafes in the capital</t>
        </is>
      </c>
      <c r="D26" s="15" t="inlineStr">
        <is>
          <t>Premium coffee segment</t>
        </is>
      </c>
      <c r="E26" s="15" t="inlineStr">
        <is>
          <t>Number (own count: Google Maps search "specialty coffee" in the capital; note date)</t>
        </is>
      </c>
      <c r="F26" s="15" t="inlineStr">
        <is>
          <t>Higher is better</t>
        </is>
      </c>
      <c r="G26" s="15" t="inlineStr">
        <is>
          <t>Own count</t>
        </is>
      </c>
      <c r="H26" s="15" t="inlineStr">
        <is>
          <t>Quantitative</t>
        </is>
      </c>
    </row>
    <row r="27">
      <c r="A27" s="9" t="inlineStr">
        <is>
          <t>S9</t>
        </is>
      </c>
      <c r="B27" s="15" t="inlineStr">
        <is>
          <t>Social</t>
        </is>
      </c>
      <c r="C27" s="15" t="inlineStr">
        <is>
          <t>International-brand hotels in the capital</t>
        </is>
      </c>
      <c r="D27" s="15" t="inlineStr">
        <is>
          <t>Tourism and hotels</t>
        </is>
      </c>
      <c r="E27" s="15" t="inlineStr">
        <is>
          <t>Number (own count: hotels of the 10 largest international chains on their websites; note date)</t>
        </is>
      </c>
      <c r="F27" s="15" t="inlineStr">
        <is>
          <t>Higher is better</t>
        </is>
      </c>
      <c r="G27" s="15" t="inlineStr">
        <is>
          <t>Own count</t>
        </is>
      </c>
      <c r="H27" s="15" t="inlineStr">
        <is>
          <t>Quantitative</t>
        </is>
      </c>
    </row>
    <row r="28">
      <c r="A28" s="9" t="inlineStr">
        <is>
          <t>S10</t>
        </is>
      </c>
      <c r="B28" s="15" t="inlineStr">
        <is>
          <t>Social</t>
        </is>
      </c>
      <c r="C28" s="15" t="inlineStr">
        <is>
          <t>School enrolment, tertiary</t>
        </is>
      </c>
      <c r="D28" s="15" t="inlineStr">
        <is>
          <t>Premium coffee segment</t>
        </is>
      </c>
      <c r="E28" s="15" t="inlineStr">
        <is>
          <t>% gross</t>
        </is>
      </c>
      <c r="F28" s="15" t="inlineStr">
        <is>
          <t>Higher is better</t>
        </is>
      </c>
      <c r="G28" s="15" t="inlineStr">
        <is>
          <t>World Development Indicators, World Bank</t>
        </is>
      </c>
      <c r="H28" s="15" t="inlineStr">
        <is>
          <t>Quantitative</t>
        </is>
      </c>
    </row>
    <row r="29">
      <c r="A29" s="9" t="inlineStr">
        <is>
          <t>T1</t>
        </is>
      </c>
      <c r="B29" s="15" t="inlineStr">
        <is>
          <t>Technological</t>
        </is>
      </c>
      <c r="C29" s="15" t="inlineStr">
        <is>
          <t>Individuals using the Internet</t>
        </is>
      </c>
      <c r="D29" s="15" t="inlineStr">
        <is>
          <t>Premium coffee segment</t>
        </is>
      </c>
      <c r="E29" s="15" t="inlineStr">
        <is>
          <t>% of population</t>
        </is>
      </c>
      <c r="F29" s="15" t="inlineStr">
        <is>
          <t>Higher is better</t>
        </is>
      </c>
      <c r="G29" s="15" t="inlineStr">
        <is>
          <t>World Development Indicators, World Bank</t>
        </is>
      </c>
      <c r="H29" s="15" t="inlineStr">
        <is>
          <t>Quantitative</t>
        </is>
      </c>
    </row>
    <row r="30">
      <c r="A30" s="9" t="inlineStr">
        <is>
          <t>T2</t>
        </is>
      </c>
      <c r="B30" s="15" t="inlineStr">
        <is>
          <t>Technological</t>
        </is>
      </c>
      <c r="C30" s="15" t="inlineStr">
        <is>
          <t>Logistics Performance Index</t>
        </is>
      </c>
      <c r="D30" s="15" t="inlineStr">
        <is>
          <t>Import and regulation</t>
        </is>
      </c>
      <c r="E30" s="15" t="inlineStr">
        <is>
          <t>Score 1 to 5</t>
        </is>
      </c>
      <c r="F30" s="15" t="inlineStr">
        <is>
          <t>Higher is better</t>
        </is>
      </c>
      <c r="G30" s="15" t="inlineStr">
        <is>
          <t>Logistics Performance Index, World Bank</t>
        </is>
      </c>
      <c r="H30" s="15" t="inlineStr">
        <is>
          <t>Quantitative</t>
        </is>
      </c>
    </row>
    <row r="31">
      <c r="A31" s="9" t="inlineStr">
        <is>
          <t>T3</t>
        </is>
      </c>
      <c r="B31" s="15" t="inlineStr">
        <is>
          <t>Technological</t>
        </is>
      </c>
      <c r="C31" s="15" t="inlineStr">
        <is>
          <t>Global Innovation Index</t>
        </is>
      </c>
      <c r="D31" s="15" t="inlineStr">
        <is>
          <t>Other</t>
        </is>
      </c>
      <c r="E31" s="15" t="inlineStr">
        <is>
          <t>Score 0 to 100</t>
        </is>
      </c>
      <c r="F31" s="15" t="inlineStr">
        <is>
          <t>Higher is better</t>
        </is>
      </c>
      <c r="G31" s="15" t="inlineStr">
        <is>
          <t>WIPO</t>
        </is>
      </c>
      <c r="H31" s="15" t="inlineStr">
        <is>
          <t>Quantitative</t>
        </is>
      </c>
    </row>
    <row r="32">
      <c r="A32" s="9" t="inlineStr">
        <is>
          <t>T4</t>
        </is>
      </c>
      <c r="B32" s="15" t="inlineStr">
        <is>
          <t>Technological</t>
        </is>
      </c>
      <c r="C32" s="15" t="inlineStr">
        <is>
          <t>Online retail and food delivery share</t>
        </is>
      </c>
      <c r="D32" s="15" t="inlineStr">
        <is>
          <t>Premium coffee segment</t>
        </is>
      </c>
      <c r="E32" s="15" t="inlineStr">
        <is>
          <t>% of retail sales</t>
        </is>
      </c>
      <c r="F32" s="15" t="inlineStr">
        <is>
          <t>Higher is better</t>
        </is>
      </c>
      <c r="G32" s="15" t="inlineStr">
        <is>
          <t>Euromonitor Passport (WU library)</t>
        </is>
      </c>
      <c r="H32" s="15" t="inlineStr">
        <is>
          <t>Quantitative</t>
        </is>
      </c>
    </row>
    <row r="33">
      <c r="A33" s="9" t="inlineStr">
        <is>
          <t>T5</t>
        </is>
      </c>
      <c r="B33" s="15" t="inlineStr">
        <is>
          <t>Technological</t>
        </is>
      </c>
      <c r="C33" s="15" t="inlineStr">
        <is>
          <t>Account ownership, adults</t>
        </is>
      </c>
      <c r="D33" s="15" t="inlineStr">
        <is>
          <t>Premium coffee segment</t>
        </is>
      </c>
      <c r="E33" s="15" t="inlineStr">
        <is>
          <t>% of adults</t>
        </is>
      </c>
      <c r="F33" s="15" t="inlineStr">
        <is>
          <t>Higher is better</t>
        </is>
      </c>
      <c r="G33" s="15" t="inlineStr">
        <is>
          <t>Global Findex, World Bank</t>
        </is>
      </c>
      <c r="H33" s="15" t="inlineStr">
        <is>
          <t>Quantitative</t>
        </is>
      </c>
    </row>
    <row r="34">
      <c r="A34" s="9" t="inlineStr">
        <is>
          <t>T6</t>
        </is>
      </c>
      <c r="B34" s="15" t="inlineStr">
        <is>
          <t>Technological</t>
        </is>
      </c>
      <c r="C34" s="15" t="inlineStr">
        <is>
          <t>Mobile cellular subscriptions</t>
        </is>
      </c>
      <c r="D34" s="15" t="inlineStr">
        <is>
          <t>Premium coffee segment</t>
        </is>
      </c>
      <c r="E34" s="15" t="inlineStr">
        <is>
          <t>Per 100 people</t>
        </is>
      </c>
      <c r="F34" s="15" t="inlineStr">
        <is>
          <t>Higher is better</t>
        </is>
      </c>
      <c r="G34" s="15" t="inlineStr">
        <is>
          <t>World Development Indicators, World Bank</t>
        </is>
      </c>
      <c r="H34" s="15" t="inlineStr">
        <is>
          <t>Quantitative</t>
        </is>
      </c>
    </row>
    <row r="35">
      <c r="A35" s="9" t="inlineStr">
        <is>
          <t>T7</t>
        </is>
      </c>
      <c r="B35" s="15" t="inlineStr">
        <is>
          <t>Technological</t>
        </is>
      </c>
      <c r="C35" s="15" t="inlineStr">
        <is>
          <t>Fixed broadband subscriptions</t>
        </is>
      </c>
      <c r="D35" s="15" t="inlineStr">
        <is>
          <t>Premium coffee segment</t>
        </is>
      </c>
      <c r="E35" s="15" t="inlineStr">
        <is>
          <t>Per 100 people</t>
        </is>
      </c>
      <c r="F35" s="15" t="inlineStr">
        <is>
          <t>Higher is better</t>
        </is>
      </c>
      <c r="G35" s="15" t="inlineStr">
        <is>
          <t>World Development Indicators, World Bank</t>
        </is>
      </c>
      <c r="H35" s="15" t="inlineStr">
        <is>
          <t>Quantitative</t>
        </is>
      </c>
    </row>
    <row r="36">
      <c r="A36" s="9" t="inlineStr">
        <is>
          <t>T8</t>
        </is>
      </c>
      <c r="B36" s="15" t="inlineStr">
        <is>
          <t>Technological</t>
        </is>
      </c>
      <c r="C36" s="15" t="inlineStr">
        <is>
          <t>Secure Internet servers</t>
        </is>
      </c>
      <c r="D36" s="15" t="inlineStr">
        <is>
          <t>Premium coffee segment</t>
        </is>
      </c>
      <c r="E36" s="15" t="inlineStr">
        <is>
          <t>Per 1 million people</t>
        </is>
      </c>
      <c r="F36" s="15" t="inlineStr">
        <is>
          <t>Higher is better</t>
        </is>
      </c>
      <c r="G36" s="15" t="inlineStr">
        <is>
          <t>World Development Indicators, World Bank</t>
        </is>
      </c>
      <c r="H36" s="15" t="inlineStr">
        <is>
          <t>Quantitative</t>
        </is>
      </c>
    </row>
    <row r="37">
      <c r="A37" s="9" t="inlineStr">
        <is>
          <t>T9</t>
        </is>
      </c>
      <c r="B37" s="15" t="inlineStr">
        <is>
          <t>Technological</t>
        </is>
      </c>
      <c r="C37" s="15" t="inlineStr">
        <is>
          <t>E-Government Development Index</t>
        </is>
      </c>
      <c r="D37" s="15" t="inlineStr">
        <is>
          <t>Other</t>
        </is>
      </c>
      <c r="E37" s="15" t="inlineStr">
        <is>
          <t>Index 0 to 1</t>
        </is>
      </c>
      <c r="F37" s="15" t="inlineStr">
        <is>
          <t>Higher is better</t>
        </is>
      </c>
      <c r="G37" s="15" t="inlineStr">
        <is>
          <t>UN E-Government Knowledgebase</t>
        </is>
      </c>
      <c r="H37" s="15" t="inlineStr">
        <is>
          <t>Quantitative</t>
        </is>
      </c>
    </row>
    <row r="38">
      <c r="A38" s="9" t="inlineStr">
        <is>
          <t>T10</t>
        </is>
      </c>
      <c r="B38" s="15" t="inlineStr">
        <is>
          <t>Technological</t>
        </is>
      </c>
      <c r="C38" s="15" t="inlineStr">
        <is>
          <t>Container port traffic</t>
        </is>
      </c>
      <c r="D38" s="15" t="inlineStr">
        <is>
          <t>Import and regulation</t>
        </is>
      </c>
      <c r="E38" s="15" t="inlineStr">
        <is>
          <t>TEU (20-foot units)</t>
        </is>
      </c>
      <c r="F38" s="15" t="inlineStr">
        <is>
          <t>Higher is better</t>
        </is>
      </c>
      <c r="G38" s="15" t="inlineStr">
        <is>
          <t>World Development Indicators, World Bank</t>
        </is>
      </c>
      <c r="H38" s="15" t="inlineStr">
        <is>
          <t>Quantitative</t>
        </is>
      </c>
    </row>
    <row r="39">
      <c r="A39" s="9" t="inlineStr">
        <is>
          <t>N1</t>
        </is>
      </c>
      <c r="B39" s="15" t="inlineStr">
        <is>
          <t>Environmental</t>
        </is>
      </c>
      <c r="C39" s="15" t="inlineStr">
        <is>
          <t>Demand for certified and sustainable coffee</t>
        </is>
      </c>
      <c r="D39" s="15" t="inlineStr">
        <is>
          <t>Premium coffee segment</t>
        </is>
      </c>
      <c r="E39" s="15" t="inlineStr">
        <is>
          <t>Score 1 to 5 (rubric D)</t>
        </is>
      </c>
      <c r="F39" s="15" t="inlineStr">
        <is>
          <t>Higher is better</t>
        </is>
      </c>
      <c r="G39" s="15" t="inlineStr">
        <is>
          <t>Industry reports, certification bodies</t>
        </is>
      </c>
      <c r="H39" s="15" t="inlineStr">
        <is>
          <t>Rubric</t>
        </is>
      </c>
    </row>
    <row r="40">
      <c r="A40" s="9" t="inlineStr">
        <is>
          <t>N2</t>
        </is>
      </c>
      <c r="B40" s="15" t="inlineStr">
        <is>
          <t>Environmental</t>
        </is>
      </c>
      <c r="C40" s="15" t="inlineStr">
        <is>
          <t>Environmental Performance Index</t>
        </is>
      </c>
      <c r="D40" s="15" t="inlineStr">
        <is>
          <t>Other</t>
        </is>
      </c>
      <c r="E40" s="15" t="inlineStr">
        <is>
          <t>Score 0 to 100</t>
        </is>
      </c>
      <c r="F40" s="15" t="inlineStr">
        <is>
          <t>Higher is better</t>
        </is>
      </c>
      <c r="G40" s="15" t="inlineStr">
        <is>
          <t>Yale Environmental Performance Index</t>
        </is>
      </c>
      <c r="H40" s="15" t="inlineStr">
        <is>
          <t>Quantitative</t>
        </is>
      </c>
    </row>
    <row r="41">
      <c r="A41" s="9" t="inlineStr">
        <is>
          <t>N3</t>
        </is>
      </c>
      <c r="B41" s="15" t="inlineStr">
        <is>
          <t>Environmental</t>
        </is>
      </c>
      <c r="C41" s="15" t="inlineStr">
        <is>
          <t>Climate vulnerability and readiness</t>
        </is>
      </c>
      <c r="D41" s="15" t="inlineStr">
        <is>
          <t>Other</t>
        </is>
      </c>
      <c r="E41" s="15" t="inlineStr">
        <is>
          <t>ND-GAIN score 0 to 100</t>
        </is>
      </c>
      <c r="F41" s="15" t="inlineStr">
        <is>
          <t>Higher is better</t>
        </is>
      </c>
      <c r="G41" s="15" t="inlineStr">
        <is>
          <t>ND-GAIN Country Index</t>
        </is>
      </c>
      <c r="H41" s="15" t="inlineStr">
        <is>
          <t>Quantitative</t>
        </is>
      </c>
    </row>
    <row r="42">
      <c r="A42" s="9" t="inlineStr">
        <is>
          <t>N4</t>
        </is>
      </c>
      <c r="B42" s="15" t="inlineStr">
        <is>
          <t>Environmental</t>
        </is>
      </c>
      <c r="C42" s="15" t="inlineStr">
        <is>
          <t>Domestic coffee production</t>
        </is>
      </c>
      <c r="D42" s="15" t="inlineStr">
        <is>
          <t>Competitive landscape</t>
        </is>
      </c>
      <c r="E42" s="15" t="inlineStr">
        <is>
          <t>Thousand 60 kg bags</t>
        </is>
      </c>
      <c r="F42" s="15" t="inlineStr">
        <is>
          <t>Lower is better</t>
        </is>
      </c>
      <c r="G42" s="15" t="inlineStr">
        <is>
          <t>International Coffee Organization; USDA Foreign Agricultural Service</t>
        </is>
      </c>
      <c r="H42" s="15" t="inlineStr">
        <is>
          <t>Quantitative</t>
        </is>
      </c>
    </row>
    <row r="43">
      <c r="A43" s="9" t="inlineStr">
        <is>
          <t>N5</t>
        </is>
      </c>
      <c r="B43" s="15" t="inlineStr">
        <is>
          <t>Environmental</t>
        </is>
      </c>
      <c r="C43" s="15" t="inlineStr">
        <is>
          <t>Packaging and waste rules for imported goods</t>
        </is>
      </c>
      <c r="D43" s="15" t="inlineStr">
        <is>
          <t>Import and regulation</t>
        </is>
      </c>
      <c r="E43" s="15" t="inlineStr">
        <is>
          <t>Score 1 to 5 (rubric E; 5 = few requirements)</t>
        </is>
      </c>
      <c r="F43" s="15" t="inlineStr">
        <is>
          <t>Higher is better</t>
        </is>
      </c>
      <c r="G43" s="15" t="inlineStr">
        <is>
          <t>National environment ministries; EU Access2Markets</t>
        </is>
      </c>
      <c r="H43" s="15" t="inlineStr">
        <is>
          <t>Rubric</t>
        </is>
      </c>
    </row>
    <row r="44">
      <c r="A44" s="9" t="inlineStr">
        <is>
          <t>L1</t>
        </is>
      </c>
      <c r="B44" s="15" t="inlineStr">
        <is>
          <t>Legal</t>
        </is>
      </c>
      <c r="C44" s="15" t="inlineStr">
        <is>
          <t>Regulatory quality</t>
        </is>
      </c>
      <c r="D44" s="15" t="inlineStr">
        <is>
          <t>Import and regulation</t>
        </is>
      </c>
      <c r="E44" s="15" t="inlineStr">
        <is>
          <t>Estimate, about -2.5 to 2.5</t>
        </is>
      </c>
      <c r="F44" s="15" t="inlineStr">
        <is>
          <t>Higher is better</t>
        </is>
      </c>
      <c r="G44" s="15" t="inlineStr">
        <is>
          <t>Worldwide Governance Indicators, World Bank</t>
        </is>
      </c>
      <c r="H44" s="15" t="inlineStr">
        <is>
          <t>Quantitative</t>
        </is>
      </c>
    </row>
    <row r="45">
      <c r="A45" s="9" t="inlineStr">
        <is>
          <t>L2</t>
        </is>
      </c>
      <c r="B45" s="15" t="inlineStr">
        <is>
          <t>Legal</t>
        </is>
      </c>
      <c r="C45" s="15" t="inlineStr">
        <is>
          <t>Rule of law</t>
        </is>
      </c>
      <c r="D45" s="15" t="inlineStr">
        <is>
          <t>Import and regulation</t>
        </is>
      </c>
      <c r="E45" s="15" t="inlineStr">
        <is>
          <t>Estimate, about -2.5 to 2.5</t>
        </is>
      </c>
      <c r="F45" s="15" t="inlineStr">
        <is>
          <t>Higher is better</t>
        </is>
      </c>
      <c r="G45" s="15" t="inlineStr">
        <is>
          <t>Worldwide Governance Indicators, World Bank</t>
        </is>
      </c>
      <c r="H45" s="15" t="inlineStr">
        <is>
          <t>Quantitative</t>
        </is>
      </c>
    </row>
    <row r="46">
      <c r="A46" s="9" t="inlineStr">
        <is>
          <t>L3</t>
        </is>
      </c>
      <c r="B46" s="15" t="inlineStr">
        <is>
          <t>Legal</t>
        </is>
      </c>
      <c r="C46" s="15" t="inlineStr">
        <is>
          <t>Product, labelling and certification requirements for coffee</t>
        </is>
      </c>
      <c r="D46" s="15" t="inlineStr">
        <is>
          <t>Import and regulation</t>
        </is>
      </c>
      <c r="E46" s="15" t="inlineStr">
        <is>
          <t>Score 1 to 5 (rubric F; 5 = few barriers)</t>
        </is>
      </c>
      <c r="F46" s="15" t="inlineStr">
        <is>
          <t>Higher is better</t>
        </is>
      </c>
      <c r="G46" s="15" t="inlineStr">
        <is>
          <t>EU Access2Markets</t>
        </is>
      </c>
      <c r="H46" s="15" t="inlineStr">
        <is>
          <t>Rubric</t>
        </is>
      </c>
    </row>
    <row r="47">
      <c r="A47" s="9" t="inlineStr">
        <is>
          <t>L4</t>
        </is>
      </c>
      <c r="B47" s="15" t="inlineStr">
        <is>
          <t>Legal</t>
        </is>
      </c>
      <c r="C47" s="15" t="inlineStr">
        <is>
          <t>Trademark protection</t>
        </is>
      </c>
      <c r="D47" s="15" t="inlineStr">
        <is>
          <t>Other</t>
        </is>
      </c>
      <c r="E47" s="15" t="inlineStr">
        <is>
          <t>Score 1 to 5 (rubric G)</t>
        </is>
      </c>
      <c r="F47" s="15" t="inlineStr">
        <is>
          <t>Higher is better</t>
        </is>
      </c>
      <c r="G47" s="15" t="inlineStr">
        <is>
          <t>National trademark offices; WIPO</t>
        </is>
      </c>
      <c r="H47" s="15" t="inlineStr">
        <is>
          <t>Rubric</t>
        </is>
      </c>
    </row>
    <row r="48">
      <c r="A48" s="9" t="inlineStr">
        <is>
          <t>L5</t>
        </is>
      </c>
      <c r="B48" s="15" t="inlineStr">
        <is>
          <t>Legal</t>
        </is>
      </c>
      <c r="C48" s="15" t="inlineStr">
        <is>
          <t>Rules for ending a distribution agreement</t>
        </is>
      </c>
      <c r="D48" s="15" t="inlineStr">
        <is>
          <t>Other</t>
        </is>
      </c>
      <c r="E48" s="15" t="inlineStr">
        <is>
          <t>Score 1 to 5 (rubric H; 5 = easy to end)</t>
        </is>
      </c>
      <c r="F48" s="15" t="inlineStr">
        <is>
          <t>Higher is better</t>
        </is>
      </c>
      <c r="G48" s="15" t="inlineStr">
        <is>
          <t>Law firm guides; national law</t>
        </is>
      </c>
      <c r="H48" s="15" t="inlineStr">
        <is>
          <t>Rubric</t>
        </is>
      </c>
    </row>
  </sheetData>
  <sheetProtection selectLockedCells="0" selectUnlockedCells="0" sheet="1" objects="0" insertRows="1" insertHyperlinks="1" autoFilter="1" scenarios="0" formatColumns="0" deleteColumns="1" insertColumns="1" pivotTables="1" deleteRows="1" formatCells="1" formatRows="0" sort="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49"/>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44" customWidth="1" min="2" max="2"/>
    <col width="15" customWidth="1" min="3" max="3"/>
    <col width="13" customWidth="1" min="4" max="4"/>
    <col width="7" customWidth="1" min="5" max="5"/>
    <col width="34" customWidth="1" min="6" max="6"/>
    <col width="13" customWidth="1" min="7" max="7"/>
    <col width="7" customWidth="1" min="8" max="8"/>
    <col width="34" customWidth="1" min="9" max="9"/>
    <col width="13" customWidth="1" min="10" max="10"/>
    <col width="7" customWidth="1" min="11" max="11"/>
    <col width="34" customWidth="1" min="12" max="12"/>
    <col width="13" customWidth="1" min="13" max="13"/>
    <col width="7" customWidth="1" min="14" max="14"/>
    <col width="34" customWidth="1" min="15" max="15"/>
    <col width="13" customWidth="1" min="16" max="16"/>
    <col width="7" customWidth="1" min="17" max="17"/>
    <col width="34" customWidth="1" min="18" max="18"/>
    <col width="13" customWidth="1" min="19" max="19"/>
    <col width="7" customWidth="1" min="20" max="20"/>
    <col width="34" customWidth="1" min="21" max="21"/>
  </cols>
  <sheetData>
    <row r="1">
      <c r="A1" s="1" t="inlineStr">
        <is>
          <t>Data: each group fills the yellow cells of its own country</t>
        </is>
      </c>
    </row>
    <row r="3">
      <c r="A3" s="4" t="inlineStr"/>
      <c r="D3" s="5" t="inlineStr">
        <is>
          <t>Argentina (Group 1)</t>
        </is>
      </c>
      <c r="E3" s="16" t="n"/>
      <c r="F3" s="16" t="n"/>
      <c r="G3" s="5" t="inlineStr">
        <is>
          <t>Brazil (Group 6)</t>
        </is>
      </c>
      <c r="H3" s="16" t="n"/>
      <c r="I3" s="16" t="n"/>
      <c r="J3" s="5" t="inlineStr">
        <is>
          <t>Chile (Group 2)</t>
        </is>
      </c>
      <c r="K3" s="16" t="n"/>
      <c r="L3" s="16" t="n"/>
      <c r="M3" s="5" t="inlineStr">
        <is>
          <t>Colombia (Group 4)</t>
        </is>
      </c>
      <c r="N3" s="16" t="n"/>
      <c r="O3" s="16" t="n"/>
      <c r="P3" s="5" t="inlineStr">
        <is>
          <t>Mexico (Group 3)</t>
        </is>
      </c>
      <c r="Q3" s="16" t="n"/>
      <c r="R3" s="16" t="n"/>
      <c r="S3" s="5" t="inlineStr">
        <is>
          <t>Uruguay (Group 5)</t>
        </is>
      </c>
      <c r="T3" s="16" t="n"/>
      <c r="U3" s="16" t="n"/>
    </row>
    <row r="4">
      <c r="A4" s="5" t="inlineStr">
        <is>
          <t>ID</t>
        </is>
      </c>
      <c r="B4" s="5" t="inlineStr">
        <is>
          <t>Indicator</t>
        </is>
      </c>
      <c r="C4" s="5" t="inlineStr">
        <is>
          <t>Direction</t>
        </is>
      </c>
      <c r="D4" s="5" t="inlineStr">
        <is>
          <t>Value</t>
        </is>
      </c>
      <c r="E4" s="5" t="inlineStr">
        <is>
          <t>Year</t>
        </is>
      </c>
      <c r="F4" s="5" t="inlineStr">
        <is>
          <t>Source and link</t>
        </is>
      </c>
      <c r="G4" s="5" t="inlineStr">
        <is>
          <t>Value</t>
        </is>
      </c>
      <c r="H4" s="5" t="inlineStr">
        <is>
          <t>Year</t>
        </is>
      </c>
      <c r="I4" s="5" t="inlineStr">
        <is>
          <t>Source and link</t>
        </is>
      </c>
      <c r="J4" s="5" t="inlineStr">
        <is>
          <t>Value</t>
        </is>
      </c>
      <c r="K4" s="5" t="inlineStr">
        <is>
          <t>Year</t>
        </is>
      </c>
      <c r="L4" s="5" t="inlineStr">
        <is>
          <t>Source and link</t>
        </is>
      </c>
      <c r="M4" s="5" t="inlineStr">
        <is>
          <t>Value</t>
        </is>
      </c>
      <c r="N4" s="5" t="inlineStr">
        <is>
          <t>Year</t>
        </is>
      </c>
      <c r="O4" s="5" t="inlineStr">
        <is>
          <t>Source and link</t>
        </is>
      </c>
      <c r="P4" s="5" t="inlineStr">
        <is>
          <t>Value</t>
        </is>
      </c>
      <c r="Q4" s="5" t="inlineStr">
        <is>
          <t>Year</t>
        </is>
      </c>
      <c r="R4" s="5" t="inlineStr">
        <is>
          <t>Source and link</t>
        </is>
      </c>
      <c r="S4" s="5" t="inlineStr">
        <is>
          <t>Value</t>
        </is>
      </c>
      <c r="T4" s="5" t="inlineStr">
        <is>
          <t>Year</t>
        </is>
      </c>
      <c r="U4" s="5" t="inlineStr">
        <is>
          <t>Source and link</t>
        </is>
      </c>
    </row>
    <row r="5">
      <c r="A5" s="8">
        <f>Indicators!A4</f>
        <v/>
      </c>
      <c r="B5" s="12">
        <f>Indicators!C4&amp;" ["&amp;Indicators!E4&amp;"]"</f>
        <v/>
      </c>
      <c r="C5" s="12">
        <f>Indicators!F4</f>
        <v/>
      </c>
      <c r="D5" s="17" t="n"/>
      <c r="E5" s="17" t="n"/>
      <c r="F5" s="18" t="n"/>
      <c r="G5" s="17" t="n"/>
      <c r="H5" s="17" t="n"/>
      <c r="I5" s="18" t="n"/>
      <c r="J5" s="17" t="n"/>
      <c r="K5" s="17" t="n"/>
      <c r="L5" s="18" t="n"/>
      <c r="M5" s="17" t="n"/>
      <c r="N5" s="17" t="n"/>
      <c r="O5" s="18" t="n"/>
      <c r="P5" s="17" t="n"/>
      <c r="Q5" s="17" t="n"/>
      <c r="R5" s="18" t="n"/>
      <c r="S5" s="17" t="n"/>
      <c r="T5" s="17" t="n"/>
      <c r="U5" s="18" t="n"/>
    </row>
    <row r="6">
      <c r="A6" s="8">
        <f>Indicators!A5</f>
        <v/>
      </c>
      <c r="B6" s="12">
        <f>Indicators!C5&amp;" ["&amp;Indicators!E5&amp;"]"</f>
        <v/>
      </c>
      <c r="C6" s="12">
        <f>Indicators!F5</f>
        <v/>
      </c>
      <c r="D6" s="17" t="n"/>
      <c r="E6" s="17" t="n"/>
      <c r="F6" s="18" t="n"/>
      <c r="G6" s="17" t="n"/>
      <c r="H6" s="17" t="n"/>
      <c r="I6" s="18" t="n"/>
      <c r="J6" s="17" t="n"/>
      <c r="K6" s="17" t="n"/>
      <c r="L6" s="18" t="n"/>
      <c r="M6" s="17" t="n"/>
      <c r="N6" s="17" t="n"/>
      <c r="O6" s="18" t="n"/>
      <c r="P6" s="17" t="n"/>
      <c r="Q6" s="17" t="n"/>
      <c r="R6" s="18" t="n"/>
      <c r="S6" s="17" t="n"/>
      <c r="T6" s="17" t="n"/>
      <c r="U6" s="18" t="n"/>
    </row>
    <row r="7">
      <c r="A7" s="8">
        <f>Indicators!A6</f>
        <v/>
      </c>
      <c r="B7" s="12">
        <f>Indicators!C6&amp;" ["&amp;Indicators!E6&amp;"]"</f>
        <v/>
      </c>
      <c r="C7" s="12">
        <f>Indicators!F6</f>
        <v/>
      </c>
      <c r="D7" s="17" t="n"/>
      <c r="E7" s="17" t="n"/>
      <c r="F7" s="18" t="n"/>
      <c r="G7" s="17" t="n"/>
      <c r="H7" s="17" t="n"/>
      <c r="I7" s="18" t="n"/>
      <c r="J7" s="17" t="n"/>
      <c r="K7" s="17" t="n"/>
      <c r="L7" s="18" t="n"/>
      <c r="M7" s="17" t="n"/>
      <c r="N7" s="17" t="n"/>
      <c r="O7" s="18" t="n"/>
      <c r="P7" s="17" t="n"/>
      <c r="Q7" s="17" t="n"/>
      <c r="R7" s="18" t="n"/>
      <c r="S7" s="17" t="n"/>
      <c r="T7" s="17" t="n"/>
      <c r="U7" s="18" t="n"/>
    </row>
    <row r="8">
      <c r="A8" s="8">
        <f>Indicators!A7</f>
        <v/>
      </c>
      <c r="B8" s="12">
        <f>Indicators!C7&amp;" ["&amp;Indicators!E7&amp;"]"</f>
        <v/>
      </c>
      <c r="C8" s="12">
        <f>Indicators!F7</f>
        <v/>
      </c>
      <c r="D8" s="17" t="n"/>
      <c r="E8" s="17" t="n"/>
      <c r="F8" s="18" t="n"/>
      <c r="G8" s="17" t="n"/>
      <c r="H8" s="17" t="n"/>
      <c r="I8" s="18" t="n"/>
      <c r="J8" s="17" t="n"/>
      <c r="K8" s="17" t="n"/>
      <c r="L8" s="18" t="n"/>
      <c r="M8" s="17" t="n"/>
      <c r="N8" s="17" t="n"/>
      <c r="O8" s="18" t="n"/>
      <c r="P8" s="17" t="n"/>
      <c r="Q8" s="17" t="n"/>
      <c r="R8" s="18" t="n"/>
      <c r="S8" s="17" t="n"/>
      <c r="T8" s="17" t="n"/>
      <c r="U8" s="18" t="n"/>
    </row>
    <row r="9">
      <c r="A9" s="8">
        <f>Indicators!A8</f>
        <v/>
      </c>
      <c r="B9" s="12">
        <f>Indicators!C8&amp;" ["&amp;Indicators!E8&amp;"]"</f>
        <v/>
      </c>
      <c r="C9" s="12">
        <f>Indicators!F8</f>
        <v/>
      </c>
      <c r="D9" s="17" t="n"/>
      <c r="E9" s="17" t="n"/>
      <c r="F9" s="18" t="n"/>
      <c r="G9" s="17" t="n"/>
      <c r="H9" s="17" t="n"/>
      <c r="I9" s="18" t="n"/>
      <c r="J9" s="17" t="n"/>
      <c r="K9" s="17" t="n"/>
      <c r="L9" s="18" t="n"/>
      <c r="M9" s="17" t="n"/>
      <c r="N9" s="17" t="n"/>
      <c r="O9" s="18" t="n"/>
      <c r="P9" s="17" t="n"/>
      <c r="Q9" s="17" t="n"/>
      <c r="R9" s="18" t="n"/>
      <c r="S9" s="17" t="n"/>
      <c r="T9" s="17" t="n"/>
      <c r="U9" s="18" t="n"/>
    </row>
    <row r="10">
      <c r="A10" s="8">
        <f>Indicators!A9</f>
        <v/>
      </c>
      <c r="B10" s="12">
        <f>Indicators!C9&amp;" ["&amp;Indicators!E9&amp;"]"</f>
        <v/>
      </c>
      <c r="C10" s="12">
        <f>Indicators!F9</f>
        <v/>
      </c>
      <c r="D10" s="17" t="n"/>
      <c r="E10" s="17" t="n"/>
      <c r="F10" s="18" t="n"/>
      <c r="G10" s="17" t="n"/>
      <c r="H10" s="17" t="n"/>
      <c r="I10" s="18" t="n"/>
      <c r="J10" s="17" t="n"/>
      <c r="K10" s="17" t="n"/>
      <c r="L10" s="18" t="n"/>
      <c r="M10" s="17" t="n"/>
      <c r="N10" s="17" t="n"/>
      <c r="O10" s="18" t="n"/>
      <c r="P10" s="17" t="n"/>
      <c r="Q10" s="17" t="n"/>
      <c r="R10" s="18" t="n"/>
      <c r="S10" s="17" t="n"/>
      <c r="T10" s="17" t="n"/>
      <c r="U10" s="18" t="n"/>
    </row>
    <row r="11">
      <c r="A11" s="8">
        <f>Indicators!A10</f>
        <v/>
      </c>
      <c r="B11" s="12">
        <f>Indicators!C10&amp;" ["&amp;Indicators!E10&amp;"]"</f>
        <v/>
      </c>
      <c r="C11" s="12">
        <f>Indicators!F10</f>
        <v/>
      </c>
      <c r="D11" s="17" t="n"/>
      <c r="E11" s="17" t="n"/>
      <c r="F11" s="18" t="n"/>
      <c r="G11" s="17" t="n"/>
      <c r="H11" s="17" t="n"/>
      <c r="I11" s="18" t="n"/>
      <c r="J11" s="17" t="n"/>
      <c r="K11" s="17" t="n"/>
      <c r="L11" s="18" t="n"/>
      <c r="M11" s="17" t="n"/>
      <c r="N11" s="17" t="n"/>
      <c r="O11" s="18" t="n"/>
      <c r="P11" s="17" t="n"/>
      <c r="Q11" s="17" t="n"/>
      <c r="R11" s="18" t="n"/>
      <c r="S11" s="17" t="n"/>
      <c r="T11" s="17" t="n"/>
      <c r="U11" s="18" t="n"/>
    </row>
    <row r="12">
      <c r="A12" s="8">
        <f>Indicators!A11</f>
        <v/>
      </c>
      <c r="B12" s="12">
        <f>Indicators!C11&amp;" ["&amp;Indicators!E11&amp;"]"</f>
        <v/>
      </c>
      <c r="C12" s="12">
        <f>Indicators!F11</f>
        <v/>
      </c>
      <c r="D12" s="17" t="n"/>
      <c r="E12" s="17" t="n"/>
      <c r="F12" s="18" t="n"/>
      <c r="G12" s="17" t="n"/>
      <c r="H12" s="17" t="n"/>
      <c r="I12" s="18" t="n"/>
      <c r="J12" s="17" t="n"/>
      <c r="K12" s="17" t="n"/>
      <c r="L12" s="18" t="n"/>
      <c r="M12" s="17" t="n"/>
      <c r="N12" s="17" t="n"/>
      <c r="O12" s="18" t="n"/>
      <c r="P12" s="17" t="n"/>
      <c r="Q12" s="17" t="n"/>
      <c r="R12" s="18" t="n"/>
      <c r="S12" s="17" t="n"/>
      <c r="T12" s="17" t="n"/>
      <c r="U12" s="18" t="n"/>
    </row>
    <row r="13">
      <c r="A13" s="8">
        <f>Indicators!A12</f>
        <v/>
      </c>
      <c r="B13" s="12">
        <f>Indicators!C12&amp;" ["&amp;Indicators!E12&amp;"]"</f>
        <v/>
      </c>
      <c r="C13" s="12">
        <f>Indicators!F12</f>
        <v/>
      </c>
      <c r="D13" s="17" t="n"/>
      <c r="E13" s="17" t="n"/>
      <c r="F13" s="18" t="n"/>
      <c r="G13" s="17" t="n"/>
      <c r="H13" s="17" t="n"/>
      <c r="I13" s="18" t="n"/>
      <c r="J13" s="17" t="n"/>
      <c r="K13" s="17" t="n"/>
      <c r="L13" s="18" t="n"/>
      <c r="M13" s="17" t="n"/>
      <c r="N13" s="17" t="n"/>
      <c r="O13" s="18" t="n"/>
      <c r="P13" s="17" t="n"/>
      <c r="Q13" s="17" t="n"/>
      <c r="R13" s="18" t="n"/>
      <c r="S13" s="17" t="n"/>
      <c r="T13" s="17" t="n"/>
      <c r="U13" s="18" t="n"/>
    </row>
    <row r="14">
      <c r="A14" s="8">
        <f>Indicators!A13</f>
        <v/>
      </c>
      <c r="B14" s="12">
        <f>Indicators!C13&amp;" ["&amp;Indicators!E13&amp;"]"</f>
        <v/>
      </c>
      <c r="C14" s="12">
        <f>Indicators!F13</f>
        <v/>
      </c>
      <c r="D14" s="17" t="n"/>
      <c r="E14" s="17" t="n"/>
      <c r="F14" s="18" t="n"/>
      <c r="G14" s="17" t="n"/>
      <c r="H14" s="17" t="n"/>
      <c r="I14" s="18" t="n"/>
      <c r="J14" s="17" t="n"/>
      <c r="K14" s="17" t="n"/>
      <c r="L14" s="18" t="n"/>
      <c r="M14" s="17" t="n"/>
      <c r="N14" s="17" t="n"/>
      <c r="O14" s="18" t="n"/>
      <c r="P14" s="17" t="n"/>
      <c r="Q14" s="17" t="n"/>
      <c r="R14" s="18" t="n"/>
      <c r="S14" s="17" t="n"/>
      <c r="T14" s="17" t="n"/>
      <c r="U14" s="18" t="n"/>
    </row>
    <row r="15">
      <c r="A15" s="8">
        <f>Indicators!A14</f>
        <v/>
      </c>
      <c r="B15" s="12">
        <f>Indicators!C14&amp;" ["&amp;Indicators!E14&amp;"]"</f>
        <v/>
      </c>
      <c r="C15" s="12">
        <f>Indicators!F14</f>
        <v/>
      </c>
      <c r="D15" s="17" t="n"/>
      <c r="E15" s="17" t="n"/>
      <c r="F15" s="18" t="n"/>
      <c r="G15" s="17" t="n"/>
      <c r="H15" s="17" t="n"/>
      <c r="I15" s="18" t="n"/>
      <c r="J15" s="17" t="n"/>
      <c r="K15" s="17" t="n"/>
      <c r="L15" s="18" t="n"/>
      <c r="M15" s="17" t="n"/>
      <c r="N15" s="17" t="n"/>
      <c r="O15" s="18" t="n"/>
      <c r="P15" s="17" t="n"/>
      <c r="Q15" s="17" t="n"/>
      <c r="R15" s="18" t="n"/>
      <c r="S15" s="17" t="n"/>
      <c r="T15" s="17" t="n"/>
      <c r="U15" s="18" t="n"/>
    </row>
    <row r="16">
      <c r="A16" s="8">
        <f>Indicators!A15</f>
        <v/>
      </c>
      <c r="B16" s="12">
        <f>Indicators!C15&amp;" ["&amp;Indicators!E15&amp;"]"</f>
        <v/>
      </c>
      <c r="C16" s="12">
        <f>Indicators!F15</f>
        <v/>
      </c>
      <c r="D16" s="17" t="n"/>
      <c r="E16" s="17" t="n"/>
      <c r="F16" s="18" t="n"/>
      <c r="G16" s="17" t="n"/>
      <c r="H16" s="17" t="n"/>
      <c r="I16" s="18" t="n"/>
      <c r="J16" s="17" t="n"/>
      <c r="K16" s="17" t="n"/>
      <c r="L16" s="18" t="n"/>
      <c r="M16" s="17" t="n"/>
      <c r="N16" s="17" t="n"/>
      <c r="O16" s="18" t="n"/>
      <c r="P16" s="17" t="n"/>
      <c r="Q16" s="17" t="n"/>
      <c r="R16" s="18" t="n"/>
      <c r="S16" s="17" t="n"/>
      <c r="T16" s="17" t="n"/>
      <c r="U16" s="18" t="n"/>
    </row>
    <row r="17">
      <c r="A17" s="8">
        <f>Indicators!A16</f>
        <v/>
      </c>
      <c r="B17" s="12">
        <f>Indicators!C16&amp;" ["&amp;Indicators!E16&amp;"]"</f>
        <v/>
      </c>
      <c r="C17" s="12">
        <f>Indicators!F16</f>
        <v/>
      </c>
      <c r="D17" s="17" t="n"/>
      <c r="E17" s="17" t="n"/>
      <c r="F17" s="18" t="n"/>
      <c r="G17" s="17" t="n"/>
      <c r="H17" s="17" t="n"/>
      <c r="I17" s="18" t="n"/>
      <c r="J17" s="17" t="n"/>
      <c r="K17" s="17" t="n"/>
      <c r="L17" s="18" t="n"/>
      <c r="M17" s="17" t="n"/>
      <c r="N17" s="17" t="n"/>
      <c r="O17" s="18" t="n"/>
      <c r="P17" s="17" t="n"/>
      <c r="Q17" s="17" t="n"/>
      <c r="R17" s="18" t="n"/>
      <c r="S17" s="17" t="n"/>
      <c r="T17" s="17" t="n"/>
      <c r="U17" s="18" t="n"/>
    </row>
    <row r="18">
      <c r="A18" s="8">
        <f>Indicators!A17</f>
        <v/>
      </c>
      <c r="B18" s="12">
        <f>Indicators!C17&amp;" ["&amp;Indicators!E17&amp;"]"</f>
        <v/>
      </c>
      <c r="C18" s="12">
        <f>Indicators!F17</f>
        <v/>
      </c>
      <c r="D18" s="17" t="n"/>
      <c r="E18" s="17" t="n"/>
      <c r="F18" s="18" t="n"/>
      <c r="G18" s="17" t="n"/>
      <c r="H18" s="17" t="n"/>
      <c r="I18" s="18" t="n"/>
      <c r="J18" s="17" t="n"/>
      <c r="K18" s="17" t="n"/>
      <c r="L18" s="18" t="n"/>
      <c r="M18" s="17" t="n"/>
      <c r="N18" s="17" t="n"/>
      <c r="O18" s="18" t="n"/>
      <c r="P18" s="17" t="n"/>
      <c r="Q18" s="17" t="n"/>
      <c r="R18" s="18" t="n"/>
      <c r="S18" s="17" t="n"/>
      <c r="T18" s="17" t="n"/>
      <c r="U18" s="18" t="n"/>
    </row>
    <row r="19">
      <c r="A19" s="8">
        <f>Indicators!A18</f>
        <v/>
      </c>
      <c r="B19" s="12">
        <f>Indicators!C18&amp;" ["&amp;Indicators!E18&amp;"]"</f>
        <v/>
      </c>
      <c r="C19" s="12">
        <f>Indicators!F18</f>
        <v/>
      </c>
      <c r="D19" s="17" t="n"/>
      <c r="E19" s="17" t="n"/>
      <c r="F19" s="18" t="n"/>
      <c r="G19" s="17" t="n"/>
      <c r="H19" s="17" t="n"/>
      <c r="I19" s="18" t="n"/>
      <c r="J19" s="17" t="n"/>
      <c r="K19" s="17" t="n"/>
      <c r="L19" s="18" t="n"/>
      <c r="M19" s="17" t="n"/>
      <c r="N19" s="17" t="n"/>
      <c r="O19" s="18" t="n"/>
      <c r="P19" s="17" t="n"/>
      <c r="Q19" s="17" t="n"/>
      <c r="R19" s="18" t="n"/>
      <c r="S19" s="17" t="n"/>
      <c r="T19" s="17" t="n"/>
      <c r="U19" s="18" t="n"/>
    </row>
    <row r="20">
      <c r="A20" s="8">
        <f>Indicators!A19</f>
        <v/>
      </c>
      <c r="B20" s="12">
        <f>Indicators!C19&amp;" ["&amp;Indicators!E19&amp;"]"</f>
        <v/>
      </c>
      <c r="C20" s="12">
        <f>Indicators!F19</f>
        <v/>
      </c>
      <c r="D20" s="17" t="n"/>
      <c r="E20" s="17" t="n"/>
      <c r="F20" s="18" t="n"/>
      <c r="G20" s="17" t="n"/>
      <c r="H20" s="17" t="n"/>
      <c r="I20" s="18" t="n"/>
      <c r="J20" s="17" t="n"/>
      <c r="K20" s="17" t="n"/>
      <c r="L20" s="18" t="n"/>
      <c r="M20" s="17" t="n"/>
      <c r="N20" s="17" t="n"/>
      <c r="O20" s="18" t="n"/>
      <c r="P20" s="17" t="n"/>
      <c r="Q20" s="17" t="n"/>
      <c r="R20" s="18" t="n"/>
      <c r="S20" s="17" t="n"/>
      <c r="T20" s="17" t="n"/>
      <c r="U20" s="18" t="n"/>
    </row>
    <row r="21">
      <c r="A21" s="8">
        <f>Indicators!A20</f>
        <v/>
      </c>
      <c r="B21" s="12">
        <f>Indicators!C20&amp;" ["&amp;Indicators!E20&amp;"]"</f>
        <v/>
      </c>
      <c r="C21" s="12">
        <f>Indicators!F20</f>
        <v/>
      </c>
      <c r="D21" s="17" t="n"/>
      <c r="E21" s="17" t="n"/>
      <c r="F21" s="18" t="n"/>
      <c r="G21" s="17" t="n"/>
      <c r="H21" s="17" t="n"/>
      <c r="I21" s="18" t="n"/>
      <c r="J21" s="17" t="n"/>
      <c r="K21" s="17" t="n"/>
      <c r="L21" s="18" t="n"/>
      <c r="M21" s="17" t="n"/>
      <c r="N21" s="17" t="n"/>
      <c r="O21" s="18" t="n"/>
      <c r="P21" s="17" t="n"/>
      <c r="Q21" s="17" t="n"/>
      <c r="R21" s="18" t="n"/>
      <c r="S21" s="17" t="n"/>
      <c r="T21" s="17" t="n"/>
      <c r="U21" s="18" t="n"/>
    </row>
    <row r="22">
      <c r="A22" s="8">
        <f>Indicators!A21</f>
        <v/>
      </c>
      <c r="B22" s="12">
        <f>Indicators!C21&amp;" ["&amp;Indicators!E21&amp;"]"</f>
        <v/>
      </c>
      <c r="C22" s="12">
        <f>Indicators!F21</f>
        <v/>
      </c>
      <c r="D22" s="17" t="n"/>
      <c r="E22" s="17" t="n"/>
      <c r="F22" s="18" t="n"/>
      <c r="G22" s="17" t="n"/>
      <c r="H22" s="17" t="n"/>
      <c r="I22" s="18" t="n"/>
      <c r="J22" s="17" t="n"/>
      <c r="K22" s="17" t="n"/>
      <c r="L22" s="18" t="n"/>
      <c r="M22" s="17" t="n"/>
      <c r="N22" s="17" t="n"/>
      <c r="O22" s="18" t="n"/>
      <c r="P22" s="17" t="n"/>
      <c r="Q22" s="17" t="n"/>
      <c r="R22" s="18" t="n"/>
      <c r="S22" s="17" t="n"/>
      <c r="T22" s="17" t="n"/>
      <c r="U22" s="18" t="n"/>
    </row>
    <row r="23">
      <c r="A23" s="8">
        <f>Indicators!A22</f>
        <v/>
      </c>
      <c r="B23" s="12">
        <f>Indicators!C22&amp;" ["&amp;Indicators!E22&amp;"]"</f>
        <v/>
      </c>
      <c r="C23" s="12">
        <f>Indicators!F22</f>
        <v/>
      </c>
      <c r="D23" s="17" t="n"/>
      <c r="E23" s="17" t="n"/>
      <c r="F23" s="18" t="n"/>
      <c r="G23" s="17" t="n"/>
      <c r="H23" s="17" t="n"/>
      <c r="I23" s="18" t="n"/>
      <c r="J23" s="17" t="n"/>
      <c r="K23" s="17" t="n"/>
      <c r="L23" s="18" t="n"/>
      <c r="M23" s="17" t="n"/>
      <c r="N23" s="17" t="n"/>
      <c r="O23" s="18" t="n"/>
      <c r="P23" s="17" t="n"/>
      <c r="Q23" s="17" t="n"/>
      <c r="R23" s="18" t="n"/>
      <c r="S23" s="17" t="n"/>
      <c r="T23" s="17" t="n"/>
      <c r="U23" s="18" t="n"/>
    </row>
    <row r="24">
      <c r="A24" s="8">
        <f>Indicators!A23</f>
        <v/>
      </c>
      <c r="B24" s="12">
        <f>Indicators!C23&amp;" ["&amp;Indicators!E23&amp;"]"</f>
        <v/>
      </c>
      <c r="C24" s="12">
        <f>Indicators!F23</f>
        <v/>
      </c>
      <c r="D24" s="17" t="n"/>
      <c r="E24" s="17" t="n"/>
      <c r="F24" s="18" t="n"/>
      <c r="G24" s="17" t="n"/>
      <c r="H24" s="17" t="n"/>
      <c r="I24" s="18" t="n"/>
      <c r="J24" s="17" t="n"/>
      <c r="K24" s="17" t="n"/>
      <c r="L24" s="18" t="n"/>
      <c r="M24" s="17" t="n"/>
      <c r="N24" s="17" t="n"/>
      <c r="O24" s="18" t="n"/>
      <c r="P24" s="17" t="n"/>
      <c r="Q24" s="17" t="n"/>
      <c r="R24" s="18" t="n"/>
      <c r="S24" s="17" t="n"/>
      <c r="T24" s="17" t="n"/>
      <c r="U24" s="18" t="n"/>
    </row>
    <row r="25">
      <c r="A25" s="8">
        <f>Indicators!A24</f>
        <v/>
      </c>
      <c r="B25" s="12">
        <f>Indicators!C24&amp;" ["&amp;Indicators!E24&amp;"]"</f>
        <v/>
      </c>
      <c r="C25" s="12">
        <f>Indicators!F24</f>
        <v/>
      </c>
      <c r="D25" s="17" t="n"/>
      <c r="E25" s="17" t="n"/>
      <c r="F25" s="18" t="n"/>
      <c r="G25" s="17" t="n"/>
      <c r="H25" s="17" t="n"/>
      <c r="I25" s="18" t="n"/>
      <c r="J25" s="17" t="n"/>
      <c r="K25" s="17" t="n"/>
      <c r="L25" s="18" t="n"/>
      <c r="M25" s="17" t="n"/>
      <c r="N25" s="17" t="n"/>
      <c r="O25" s="18" t="n"/>
      <c r="P25" s="17" t="n"/>
      <c r="Q25" s="17" t="n"/>
      <c r="R25" s="18" t="n"/>
      <c r="S25" s="17" t="n"/>
      <c r="T25" s="17" t="n"/>
      <c r="U25" s="18" t="n"/>
    </row>
    <row r="26">
      <c r="A26" s="8">
        <f>Indicators!A25</f>
        <v/>
      </c>
      <c r="B26" s="12">
        <f>Indicators!C25&amp;" ["&amp;Indicators!E25&amp;"]"</f>
        <v/>
      </c>
      <c r="C26" s="12">
        <f>Indicators!F25</f>
        <v/>
      </c>
      <c r="D26" s="17" t="n"/>
      <c r="E26" s="17" t="n"/>
      <c r="F26" s="18" t="n"/>
      <c r="G26" s="17" t="n"/>
      <c r="H26" s="17" t="n"/>
      <c r="I26" s="18" t="n"/>
      <c r="J26" s="17" t="n"/>
      <c r="K26" s="17" t="n"/>
      <c r="L26" s="18" t="n"/>
      <c r="M26" s="17" t="n"/>
      <c r="N26" s="17" t="n"/>
      <c r="O26" s="18" t="n"/>
      <c r="P26" s="17" t="n"/>
      <c r="Q26" s="17" t="n"/>
      <c r="R26" s="18" t="n"/>
      <c r="S26" s="17" t="n"/>
      <c r="T26" s="17" t="n"/>
      <c r="U26" s="18" t="n"/>
    </row>
    <row r="27">
      <c r="A27" s="8">
        <f>Indicators!A26</f>
        <v/>
      </c>
      <c r="B27" s="12">
        <f>Indicators!C26&amp;" ["&amp;Indicators!E26&amp;"]"</f>
        <v/>
      </c>
      <c r="C27" s="12">
        <f>Indicators!F26</f>
        <v/>
      </c>
      <c r="D27" s="17" t="n"/>
      <c r="E27" s="17" t="n"/>
      <c r="F27" s="18" t="n"/>
      <c r="G27" s="17" t="n"/>
      <c r="H27" s="17" t="n"/>
      <c r="I27" s="18" t="n"/>
      <c r="J27" s="17" t="n"/>
      <c r="K27" s="17" t="n"/>
      <c r="L27" s="18" t="n"/>
      <c r="M27" s="17" t="n"/>
      <c r="N27" s="17" t="n"/>
      <c r="O27" s="18" t="n"/>
      <c r="P27" s="17" t="n"/>
      <c r="Q27" s="17" t="n"/>
      <c r="R27" s="18" t="n"/>
      <c r="S27" s="17" t="n"/>
      <c r="T27" s="17" t="n"/>
      <c r="U27" s="18" t="n"/>
    </row>
    <row r="28">
      <c r="A28" s="8">
        <f>Indicators!A27</f>
        <v/>
      </c>
      <c r="B28" s="12">
        <f>Indicators!C27&amp;" ["&amp;Indicators!E27&amp;"]"</f>
        <v/>
      </c>
      <c r="C28" s="12">
        <f>Indicators!F27</f>
        <v/>
      </c>
      <c r="D28" s="17" t="n"/>
      <c r="E28" s="17" t="n"/>
      <c r="F28" s="18" t="n"/>
      <c r="G28" s="17" t="n"/>
      <c r="H28" s="17" t="n"/>
      <c r="I28" s="18" t="n"/>
      <c r="J28" s="17" t="n"/>
      <c r="K28" s="17" t="n"/>
      <c r="L28" s="18" t="n"/>
      <c r="M28" s="17" t="n"/>
      <c r="N28" s="17" t="n"/>
      <c r="O28" s="18" t="n"/>
      <c r="P28" s="17" t="n"/>
      <c r="Q28" s="17" t="n"/>
      <c r="R28" s="18" t="n"/>
      <c r="S28" s="17" t="n"/>
      <c r="T28" s="17" t="n"/>
      <c r="U28" s="18" t="n"/>
    </row>
    <row r="29">
      <c r="A29" s="8">
        <f>Indicators!A28</f>
        <v/>
      </c>
      <c r="B29" s="12">
        <f>Indicators!C28&amp;" ["&amp;Indicators!E28&amp;"]"</f>
        <v/>
      </c>
      <c r="C29" s="12">
        <f>Indicators!F28</f>
        <v/>
      </c>
      <c r="D29" s="17" t="n"/>
      <c r="E29" s="17" t="n"/>
      <c r="F29" s="18" t="n"/>
      <c r="G29" s="17" t="n"/>
      <c r="H29" s="17" t="n"/>
      <c r="I29" s="18" t="n"/>
      <c r="J29" s="17" t="n"/>
      <c r="K29" s="17" t="n"/>
      <c r="L29" s="18" t="n"/>
      <c r="M29" s="17" t="n"/>
      <c r="N29" s="17" t="n"/>
      <c r="O29" s="18" t="n"/>
      <c r="P29" s="17" t="n"/>
      <c r="Q29" s="17" t="n"/>
      <c r="R29" s="18" t="n"/>
      <c r="S29" s="17" t="n"/>
      <c r="T29" s="17" t="n"/>
      <c r="U29" s="18" t="n"/>
    </row>
    <row r="30">
      <c r="A30" s="8">
        <f>Indicators!A29</f>
        <v/>
      </c>
      <c r="B30" s="12">
        <f>Indicators!C29&amp;" ["&amp;Indicators!E29&amp;"]"</f>
        <v/>
      </c>
      <c r="C30" s="12">
        <f>Indicators!F29</f>
        <v/>
      </c>
      <c r="D30" s="17" t="n"/>
      <c r="E30" s="17" t="n"/>
      <c r="F30" s="18" t="n"/>
      <c r="G30" s="17" t="n"/>
      <c r="H30" s="17" t="n"/>
      <c r="I30" s="18" t="n"/>
      <c r="J30" s="17" t="n"/>
      <c r="K30" s="17" t="n"/>
      <c r="L30" s="18" t="n"/>
      <c r="M30" s="17" t="n"/>
      <c r="N30" s="17" t="n"/>
      <c r="O30" s="18" t="n"/>
      <c r="P30" s="17" t="n"/>
      <c r="Q30" s="17" t="n"/>
      <c r="R30" s="18" t="n"/>
      <c r="S30" s="17" t="n"/>
      <c r="T30" s="17" t="n"/>
      <c r="U30" s="18" t="n"/>
    </row>
    <row r="31">
      <c r="A31" s="8">
        <f>Indicators!A30</f>
        <v/>
      </c>
      <c r="B31" s="12">
        <f>Indicators!C30&amp;" ["&amp;Indicators!E30&amp;"]"</f>
        <v/>
      </c>
      <c r="C31" s="12">
        <f>Indicators!F30</f>
        <v/>
      </c>
      <c r="D31" s="17" t="n"/>
      <c r="E31" s="17" t="n"/>
      <c r="F31" s="18" t="n"/>
      <c r="G31" s="17" t="n"/>
      <c r="H31" s="17" t="n"/>
      <c r="I31" s="18" t="n"/>
      <c r="J31" s="17" t="n"/>
      <c r="K31" s="17" t="n"/>
      <c r="L31" s="18" t="n"/>
      <c r="M31" s="17" t="n"/>
      <c r="N31" s="17" t="n"/>
      <c r="O31" s="18" t="n"/>
      <c r="P31" s="17" t="n"/>
      <c r="Q31" s="17" t="n"/>
      <c r="R31" s="18" t="n"/>
      <c r="S31" s="17" t="n"/>
      <c r="T31" s="17" t="n"/>
      <c r="U31" s="18" t="n"/>
    </row>
    <row r="32">
      <c r="A32" s="8">
        <f>Indicators!A31</f>
        <v/>
      </c>
      <c r="B32" s="12">
        <f>Indicators!C31&amp;" ["&amp;Indicators!E31&amp;"]"</f>
        <v/>
      </c>
      <c r="C32" s="12">
        <f>Indicators!F31</f>
        <v/>
      </c>
      <c r="D32" s="17" t="n"/>
      <c r="E32" s="17" t="n"/>
      <c r="F32" s="18" t="n"/>
      <c r="G32" s="17" t="n"/>
      <c r="H32" s="17" t="n"/>
      <c r="I32" s="18" t="n"/>
      <c r="J32" s="17" t="n"/>
      <c r="K32" s="17" t="n"/>
      <c r="L32" s="18" t="n"/>
      <c r="M32" s="17" t="n"/>
      <c r="N32" s="17" t="n"/>
      <c r="O32" s="18" t="n"/>
      <c r="P32" s="17" t="n"/>
      <c r="Q32" s="17" t="n"/>
      <c r="R32" s="18" t="n"/>
      <c r="S32" s="17" t="n"/>
      <c r="T32" s="17" t="n"/>
      <c r="U32" s="18" t="n"/>
    </row>
    <row r="33">
      <c r="A33" s="8">
        <f>Indicators!A32</f>
        <v/>
      </c>
      <c r="B33" s="12">
        <f>Indicators!C32&amp;" ["&amp;Indicators!E32&amp;"]"</f>
        <v/>
      </c>
      <c r="C33" s="12">
        <f>Indicators!F32</f>
        <v/>
      </c>
      <c r="D33" s="17" t="n"/>
      <c r="E33" s="17" t="n"/>
      <c r="F33" s="18" t="n"/>
      <c r="G33" s="17" t="n"/>
      <c r="H33" s="17" t="n"/>
      <c r="I33" s="18" t="n"/>
      <c r="J33" s="17" t="n"/>
      <c r="K33" s="17" t="n"/>
      <c r="L33" s="18" t="n"/>
      <c r="M33" s="17" t="n"/>
      <c r="N33" s="17" t="n"/>
      <c r="O33" s="18" t="n"/>
      <c r="P33" s="17" t="n"/>
      <c r="Q33" s="17" t="n"/>
      <c r="R33" s="18" t="n"/>
      <c r="S33" s="17" t="n"/>
      <c r="T33" s="17" t="n"/>
      <c r="U33" s="18" t="n"/>
    </row>
    <row r="34">
      <c r="A34" s="8">
        <f>Indicators!A33</f>
        <v/>
      </c>
      <c r="B34" s="12">
        <f>Indicators!C33&amp;" ["&amp;Indicators!E33&amp;"]"</f>
        <v/>
      </c>
      <c r="C34" s="12">
        <f>Indicators!F33</f>
        <v/>
      </c>
      <c r="D34" s="17" t="n"/>
      <c r="E34" s="17" t="n"/>
      <c r="F34" s="18" t="n"/>
      <c r="G34" s="17" t="n"/>
      <c r="H34" s="17" t="n"/>
      <c r="I34" s="18" t="n"/>
      <c r="J34" s="17" t="n"/>
      <c r="K34" s="17" t="n"/>
      <c r="L34" s="18" t="n"/>
      <c r="M34" s="17" t="n"/>
      <c r="N34" s="17" t="n"/>
      <c r="O34" s="18" t="n"/>
      <c r="P34" s="17" t="n"/>
      <c r="Q34" s="17" t="n"/>
      <c r="R34" s="18" t="n"/>
      <c r="S34" s="17" t="n"/>
      <c r="T34" s="17" t="n"/>
      <c r="U34" s="18" t="n"/>
    </row>
    <row r="35">
      <c r="A35" s="8">
        <f>Indicators!A34</f>
        <v/>
      </c>
      <c r="B35" s="12">
        <f>Indicators!C34&amp;" ["&amp;Indicators!E34&amp;"]"</f>
        <v/>
      </c>
      <c r="C35" s="12">
        <f>Indicators!F34</f>
        <v/>
      </c>
      <c r="D35" s="17" t="n"/>
      <c r="E35" s="17" t="n"/>
      <c r="F35" s="18" t="n"/>
      <c r="G35" s="17" t="n"/>
      <c r="H35" s="17" t="n"/>
      <c r="I35" s="18" t="n"/>
      <c r="J35" s="17" t="n"/>
      <c r="K35" s="17" t="n"/>
      <c r="L35" s="18" t="n"/>
      <c r="M35" s="17" t="n"/>
      <c r="N35" s="17" t="n"/>
      <c r="O35" s="18" t="n"/>
      <c r="P35" s="17" t="n"/>
      <c r="Q35" s="17" t="n"/>
      <c r="R35" s="18" t="n"/>
      <c r="S35" s="17" t="n"/>
      <c r="T35" s="17" t="n"/>
      <c r="U35" s="18" t="n"/>
    </row>
    <row r="36">
      <c r="A36" s="8">
        <f>Indicators!A35</f>
        <v/>
      </c>
      <c r="B36" s="12">
        <f>Indicators!C35&amp;" ["&amp;Indicators!E35&amp;"]"</f>
        <v/>
      </c>
      <c r="C36" s="12">
        <f>Indicators!F35</f>
        <v/>
      </c>
      <c r="D36" s="17" t="n"/>
      <c r="E36" s="17" t="n"/>
      <c r="F36" s="18" t="n"/>
      <c r="G36" s="17" t="n"/>
      <c r="H36" s="17" t="n"/>
      <c r="I36" s="18" t="n"/>
      <c r="J36" s="17" t="n"/>
      <c r="K36" s="17" t="n"/>
      <c r="L36" s="18" t="n"/>
      <c r="M36" s="17" t="n"/>
      <c r="N36" s="17" t="n"/>
      <c r="O36" s="18" t="n"/>
      <c r="P36" s="17" t="n"/>
      <c r="Q36" s="17" t="n"/>
      <c r="R36" s="18" t="n"/>
      <c r="S36" s="17" t="n"/>
      <c r="T36" s="17" t="n"/>
      <c r="U36" s="18" t="n"/>
    </row>
    <row r="37">
      <c r="A37" s="8">
        <f>Indicators!A36</f>
        <v/>
      </c>
      <c r="B37" s="12">
        <f>Indicators!C36&amp;" ["&amp;Indicators!E36&amp;"]"</f>
        <v/>
      </c>
      <c r="C37" s="12">
        <f>Indicators!F36</f>
        <v/>
      </c>
      <c r="D37" s="17" t="n"/>
      <c r="E37" s="17" t="n"/>
      <c r="F37" s="18" t="n"/>
      <c r="G37" s="17" t="n"/>
      <c r="H37" s="17" t="n"/>
      <c r="I37" s="18" t="n"/>
      <c r="J37" s="17" t="n"/>
      <c r="K37" s="17" t="n"/>
      <c r="L37" s="18" t="n"/>
      <c r="M37" s="17" t="n"/>
      <c r="N37" s="17" t="n"/>
      <c r="O37" s="18" t="n"/>
      <c r="P37" s="17" t="n"/>
      <c r="Q37" s="17" t="n"/>
      <c r="R37" s="18" t="n"/>
      <c r="S37" s="17" t="n"/>
      <c r="T37" s="17" t="n"/>
      <c r="U37" s="18" t="n"/>
    </row>
    <row r="38">
      <c r="A38" s="8">
        <f>Indicators!A37</f>
        <v/>
      </c>
      <c r="B38" s="12">
        <f>Indicators!C37&amp;" ["&amp;Indicators!E37&amp;"]"</f>
        <v/>
      </c>
      <c r="C38" s="12">
        <f>Indicators!F37</f>
        <v/>
      </c>
      <c r="D38" s="17" t="n"/>
      <c r="E38" s="17" t="n"/>
      <c r="F38" s="18" t="n"/>
      <c r="G38" s="17" t="n"/>
      <c r="H38" s="17" t="n"/>
      <c r="I38" s="18" t="n"/>
      <c r="J38" s="17" t="n"/>
      <c r="K38" s="17" t="n"/>
      <c r="L38" s="18" t="n"/>
      <c r="M38" s="17" t="n"/>
      <c r="N38" s="17" t="n"/>
      <c r="O38" s="18" t="n"/>
      <c r="P38" s="17" t="n"/>
      <c r="Q38" s="17" t="n"/>
      <c r="R38" s="18" t="n"/>
      <c r="S38" s="17" t="n"/>
      <c r="T38" s="17" t="n"/>
      <c r="U38" s="18" t="n"/>
    </row>
    <row r="39">
      <c r="A39" s="8">
        <f>Indicators!A38</f>
        <v/>
      </c>
      <c r="B39" s="12">
        <f>Indicators!C38&amp;" ["&amp;Indicators!E38&amp;"]"</f>
        <v/>
      </c>
      <c r="C39" s="12">
        <f>Indicators!F38</f>
        <v/>
      </c>
      <c r="D39" s="17" t="n"/>
      <c r="E39" s="17" t="n"/>
      <c r="F39" s="18" t="n"/>
      <c r="G39" s="17" t="n"/>
      <c r="H39" s="17" t="n"/>
      <c r="I39" s="18" t="n"/>
      <c r="J39" s="17" t="n"/>
      <c r="K39" s="17" t="n"/>
      <c r="L39" s="18" t="n"/>
      <c r="M39" s="17" t="n"/>
      <c r="N39" s="17" t="n"/>
      <c r="O39" s="18" t="n"/>
      <c r="P39" s="17" t="n"/>
      <c r="Q39" s="17" t="n"/>
      <c r="R39" s="18" t="n"/>
      <c r="S39" s="17" t="n"/>
      <c r="T39" s="17" t="n"/>
      <c r="U39" s="18" t="n"/>
    </row>
    <row r="40">
      <c r="A40" s="8">
        <f>Indicators!A39</f>
        <v/>
      </c>
      <c r="B40" s="12">
        <f>Indicators!C39&amp;" ["&amp;Indicators!E39&amp;"]"</f>
        <v/>
      </c>
      <c r="C40" s="12">
        <f>Indicators!F39</f>
        <v/>
      </c>
      <c r="D40" s="17" t="n"/>
      <c r="E40" s="17" t="n"/>
      <c r="F40" s="18" t="n"/>
      <c r="G40" s="17" t="n"/>
      <c r="H40" s="17" t="n"/>
      <c r="I40" s="18" t="n"/>
      <c r="J40" s="17" t="n"/>
      <c r="K40" s="17" t="n"/>
      <c r="L40" s="18" t="n"/>
      <c r="M40" s="17" t="n"/>
      <c r="N40" s="17" t="n"/>
      <c r="O40" s="18" t="n"/>
      <c r="P40" s="17" t="n"/>
      <c r="Q40" s="17" t="n"/>
      <c r="R40" s="18" t="n"/>
      <c r="S40" s="17" t="n"/>
      <c r="T40" s="17" t="n"/>
      <c r="U40" s="18" t="n"/>
    </row>
    <row r="41">
      <c r="A41" s="8">
        <f>Indicators!A40</f>
        <v/>
      </c>
      <c r="B41" s="12">
        <f>Indicators!C40&amp;" ["&amp;Indicators!E40&amp;"]"</f>
        <v/>
      </c>
      <c r="C41" s="12">
        <f>Indicators!F40</f>
        <v/>
      </c>
      <c r="D41" s="17" t="n"/>
      <c r="E41" s="17" t="n"/>
      <c r="F41" s="18" t="n"/>
      <c r="G41" s="17" t="n"/>
      <c r="H41" s="17" t="n"/>
      <c r="I41" s="18" t="n"/>
      <c r="J41" s="17" t="n"/>
      <c r="K41" s="17" t="n"/>
      <c r="L41" s="18" t="n"/>
      <c r="M41" s="17" t="n"/>
      <c r="N41" s="17" t="n"/>
      <c r="O41" s="18" t="n"/>
      <c r="P41" s="17" t="n"/>
      <c r="Q41" s="17" t="n"/>
      <c r="R41" s="18" t="n"/>
      <c r="S41" s="17" t="n"/>
      <c r="T41" s="17" t="n"/>
      <c r="U41" s="18" t="n"/>
    </row>
    <row r="42">
      <c r="A42" s="8">
        <f>Indicators!A41</f>
        <v/>
      </c>
      <c r="B42" s="12">
        <f>Indicators!C41&amp;" ["&amp;Indicators!E41&amp;"]"</f>
        <v/>
      </c>
      <c r="C42" s="12">
        <f>Indicators!F41</f>
        <v/>
      </c>
      <c r="D42" s="17" t="n"/>
      <c r="E42" s="17" t="n"/>
      <c r="F42" s="18" t="n"/>
      <c r="G42" s="17" t="n"/>
      <c r="H42" s="17" t="n"/>
      <c r="I42" s="18" t="n"/>
      <c r="J42" s="17" t="n"/>
      <c r="K42" s="17" t="n"/>
      <c r="L42" s="18" t="n"/>
      <c r="M42" s="17" t="n"/>
      <c r="N42" s="17" t="n"/>
      <c r="O42" s="18" t="n"/>
      <c r="P42" s="17" t="n"/>
      <c r="Q42" s="17" t="n"/>
      <c r="R42" s="18" t="n"/>
      <c r="S42" s="17" t="n"/>
      <c r="T42" s="17" t="n"/>
      <c r="U42" s="18" t="n"/>
    </row>
    <row r="43">
      <c r="A43" s="8">
        <f>Indicators!A42</f>
        <v/>
      </c>
      <c r="B43" s="12">
        <f>Indicators!C42&amp;" ["&amp;Indicators!E42&amp;"]"</f>
        <v/>
      </c>
      <c r="C43" s="12">
        <f>Indicators!F42</f>
        <v/>
      </c>
      <c r="D43" s="17" t="n"/>
      <c r="E43" s="17" t="n"/>
      <c r="F43" s="18" t="n"/>
      <c r="G43" s="17" t="n"/>
      <c r="H43" s="17" t="n"/>
      <c r="I43" s="18" t="n"/>
      <c r="J43" s="17" t="n"/>
      <c r="K43" s="17" t="n"/>
      <c r="L43" s="18" t="n"/>
      <c r="M43" s="17" t="n"/>
      <c r="N43" s="17" t="n"/>
      <c r="O43" s="18" t="n"/>
      <c r="P43" s="17" t="n"/>
      <c r="Q43" s="17" t="n"/>
      <c r="R43" s="18" t="n"/>
      <c r="S43" s="17" t="n"/>
      <c r="T43" s="17" t="n"/>
      <c r="U43" s="18" t="n"/>
    </row>
    <row r="44">
      <c r="A44" s="8">
        <f>Indicators!A43</f>
        <v/>
      </c>
      <c r="B44" s="12">
        <f>Indicators!C43&amp;" ["&amp;Indicators!E43&amp;"]"</f>
        <v/>
      </c>
      <c r="C44" s="12">
        <f>Indicators!F43</f>
        <v/>
      </c>
      <c r="D44" s="17" t="n"/>
      <c r="E44" s="17" t="n"/>
      <c r="F44" s="18" t="n"/>
      <c r="G44" s="17" t="n"/>
      <c r="H44" s="17" t="n"/>
      <c r="I44" s="18" t="n"/>
      <c r="J44" s="17" t="n"/>
      <c r="K44" s="17" t="n"/>
      <c r="L44" s="18" t="n"/>
      <c r="M44" s="17" t="n"/>
      <c r="N44" s="17" t="n"/>
      <c r="O44" s="18" t="n"/>
      <c r="P44" s="17" t="n"/>
      <c r="Q44" s="17" t="n"/>
      <c r="R44" s="18" t="n"/>
      <c r="S44" s="17" t="n"/>
      <c r="T44" s="17" t="n"/>
      <c r="U44" s="18" t="n"/>
    </row>
    <row r="45">
      <c r="A45" s="8">
        <f>Indicators!A44</f>
        <v/>
      </c>
      <c r="B45" s="12">
        <f>Indicators!C44&amp;" ["&amp;Indicators!E44&amp;"]"</f>
        <v/>
      </c>
      <c r="C45" s="12">
        <f>Indicators!F44</f>
        <v/>
      </c>
      <c r="D45" s="17" t="n"/>
      <c r="E45" s="17" t="n"/>
      <c r="F45" s="18" t="n"/>
      <c r="G45" s="17" t="n"/>
      <c r="H45" s="17" t="n"/>
      <c r="I45" s="18" t="n"/>
      <c r="J45" s="17" t="n"/>
      <c r="K45" s="17" t="n"/>
      <c r="L45" s="18" t="n"/>
      <c r="M45" s="17" t="n"/>
      <c r="N45" s="17" t="n"/>
      <c r="O45" s="18" t="n"/>
      <c r="P45" s="17" t="n"/>
      <c r="Q45" s="17" t="n"/>
      <c r="R45" s="18" t="n"/>
      <c r="S45" s="17" t="n"/>
      <c r="T45" s="17" t="n"/>
      <c r="U45" s="18" t="n"/>
    </row>
    <row r="46">
      <c r="A46" s="8">
        <f>Indicators!A45</f>
        <v/>
      </c>
      <c r="B46" s="12">
        <f>Indicators!C45&amp;" ["&amp;Indicators!E45&amp;"]"</f>
        <v/>
      </c>
      <c r="C46" s="12">
        <f>Indicators!F45</f>
        <v/>
      </c>
      <c r="D46" s="17" t="n"/>
      <c r="E46" s="17" t="n"/>
      <c r="F46" s="18" t="n"/>
      <c r="G46" s="17" t="n"/>
      <c r="H46" s="17" t="n"/>
      <c r="I46" s="18" t="n"/>
      <c r="J46" s="17" t="n"/>
      <c r="K46" s="17" t="n"/>
      <c r="L46" s="18" t="n"/>
      <c r="M46" s="17" t="n"/>
      <c r="N46" s="17" t="n"/>
      <c r="O46" s="18" t="n"/>
      <c r="P46" s="17" t="n"/>
      <c r="Q46" s="17" t="n"/>
      <c r="R46" s="18" t="n"/>
      <c r="S46" s="17" t="n"/>
      <c r="T46" s="17" t="n"/>
      <c r="U46" s="18" t="n"/>
    </row>
    <row r="47">
      <c r="A47" s="8">
        <f>Indicators!A46</f>
        <v/>
      </c>
      <c r="B47" s="12">
        <f>Indicators!C46&amp;" ["&amp;Indicators!E46&amp;"]"</f>
        <v/>
      </c>
      <c r="C47" s="12">
        <f>Indicators!F46</f>
        <v/>
      </c>
      <c r="D47" s="17" t="n"/>
      <c r="E47" s="17" t="n"/>
      <c r="F47" s="18" t="n"/>
      <c r="G47" s="17" t="n"/>
      <c r="H47" s="17" t="n"/>
      <c r="I47" s="18" t="n"/>
      <c r="J47" s="17" t="n"/>
      <c r="K47" s="17" t="n"/>
      <c r="L47" s="18" t="n"/>
      <c r="M47" s="17" t="n"/>
      <c r="N47" s="17" t="n"/>
      <c r="O47" s="18" t="n"/>
      <c r="P47" s="17" t="n"/>
      <c r="Q47" s="17" t="n"/>
      <c r="R47" s="18" t="n"/>
      <c r="S47" s="17" t="n"/>
      <c r="T47" s="17" t="n"/>
      <c r="U47" s="18" t="n"/>
    </row>
    <row r="48">
      <c r="A48" s="8">
        <f>Indicators!A47</f>
        <v/>
      </c>
      <c r="B48" s="12">
        <f>Indicators!C47&amp;" ["&amp;Indicators!E47&amp;"]"</f>
        <v/>
      </c>
      <c r="C48" s="12">
        <f>Indicators!F47</f>
        <v/>
      </c>
      <c r="D48" s="17" t="n"/>
      <c r="E48" s="17" t="n"/>
      <c r="F48" s="18" t="n"/>
      <c r="G48" s="17" t="n"/>
      <c r="H48" s="17" t="n"/>
      <c r="I48" s="18" t="n"/>
      <c r="J48" s="17" t="n"/>
      <c r="K48" s="17" t="n"/>
      <c r="L48" s="18" t="n"/>
      <c r="M48" s="17" t="n"/>
      <c r="N48" s="17" t="n"/>
      <c r="O48" s="18" t="n"/>
      <c r="P48" s="17" t="n"/>
      <c r="Q48" s="17" t="n"/>
      <c r="R48" s="18" t="n"/>
      <c r="S48" s="17" t="n"/>
      <c r="T48" s="17" t="n"/>
      <c r="U48" s="18" t="n"/>
    </row>
    <row r="49">
      <c r="A49" s="8">
        <f>Indicators!A48</f>
        <v/>
      </c>
      <c r="B49" s="12">
        <f>Indicators!C48&amp;" ["&amp;Indicators!E48&amp;"]"</f>
        <v/>
      </c>
      <c r="C49" s="12">
        <f>Indicators!F48</f>
        <v/>
      </c>
      <c r="D49" s="17" t="n"/>
      <c r="E49" s="17" t="n"/>
      <c r="F49" s="18" t="n"/>
      <c r="G49" s="17" t="n"/>
      <c r="H49" s="17" t="n"/>
      <c r="I49" s="18" t="n"/>
      <c r="J49" s="17" t="n"/>
      <c r="K49" s="17" t="n"/>
      <c r="L49" s="18" t="n"/>
      <c r="M49" s="17" t="n"/>
      <c r="N49" s="17" t="n"/>
      <c r="O49" s="18" t="n"/>
      <c r="P49" s="17" t="n"/>
      <c r="Q49" s="17" t="n"/>
      <c r="R49" s="18" t="n"/>
      <c r="S49" s="17" t="n"/>
      <c r="T49" s="17" t="n"/>
      <c r="U49" s="18" t="n"/>
    </row>
  </sheetData>
  <sheetProtection selectLockedCells="0" selectUnlockedCells="0" sheet="1" objects="0" insertRows="1" insertHyperlinks="1" autoFilter="1" scenarios="0" formatColumns="0" deleteColumns="1" insertColumns="1" pivotTables="1" deleteRows="1" formatCells="1" formatRows="0" sort="1"/>
  <mergeCells count="6">
    <mergeCell ref="M3:O3"/>
    <mergeCell ref="D3:F3"/>
    <mergeCell ref="S3:U3"/>
    <mergeCell ref="G3:I3"/>
    <mergeCell ref="J3:L3"/>
    <mergeCell ref="P3:R3"/>
  </mergeCells>
  <dataValidations count="1">
    <dataValidation sqref="D9 D24 D25 D40 D44 D47 D48 D49 G9 G24 G25 G40 G44 G47 G48 G49 J9 J24 J25 J40 J44 J47 J48 J49 M9 M24 M25 M40 M44 M47 M48 M49 P9 P24 P25 P40 P44 P47 P48 P49 S9 S24 S25 S40 S44 S47 S48 S49" showDropDown="0" showInputMessage="0" showErrorMessage="1" allowBlank="1" errorTitle="Rubric score" error="Enter a whole number from 1 to 5." type="whole" operator="between">
      <formula1>1</formula1>
      <formula2>5</formula2>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8"/>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Normalised scores 0 to 100 (min-max, direction respected)</t>
        </is>
      </c>
    </row>
    <row r="2">
      <c r="A2" s="2" t="inlineStr">
        <is>
          <t>Best country = 100, weakest = 0 on each indicator. Exaggerates small differences with six countries.</t>
        </is>
      </c>
    </row>
    <row r="3">
      <c r="A3" s="5" t="inlineStr">
        <is>
          <t>ID</t>
        </is>
      </c>
      <c r="B3" s="5" t="inlineStr">
        <is>
          <t>Indicator</t>
        </is>
      </c>
      <c r="C3" s="5" t="inlineStr">
        <is>
          <t>Argentina</t>
        </is>
      </c>
      <c r="D3" s="5" t="inlineStr">
        <is>
          <t>Brazil</t>
        </is>
      </c>
      <c r="E3" s="5" t="inlineStr">
        <is>
          <t>Chile</t>
        </is>
      </c>
      <c r="F3" s="5" t="inlineStr">
        <is>
          <t>Colombia</t>
        </is>
      </c>
      <c r="G3" s="5" t="inlineStr">
        <is>
          <t>Mexico</t>
        </is>
      </c>
      <c r="H3" s="5" t="inlineStr">
        <is>
          <t>Uruguay</t>
        </is>
      </c>
    </row>
    <row r="4">
      <c r="A4" s="8">
        <f>Indicators!A4</f>
        <v/>
      </c>
      <c r="B4" s="12">
        <f>Indicators!C4</f>
        <v/>
      </c>
      <c r="C4" s="13">
        <f>IF(COUNT(Data!D5,Data!G5,Data!J5,Data!M5,Data!P5,Data!S5)&lt;6,"",IF(MAX(Data!D5,Data!G5,Data!J5,Data!M5,Data!P5,Data!S5)=MIN(Data!D5,Data!G5,Data!J5,Data!M5,Data!P5,Data!S5),"",IF(Data!$C5="Lower is better",100*(MAX(Data!D5,Data!G5,Data!J5,Data!M5,Data!P5,Data!S5)-Data!D5)/(MAX(Data!D5,Data!G5,Data!J5,Data!M5,Data!P5,Data!S5)-MIN(Data!D5,Data!G5,Data!J5,Data!M5,Data!P5,Data!S5)),100*(Data!D5-MIN(Data!D5,Data!G5,Data!J5,Data!M5,Data!P5,Data!S5))/(MAX(Data!D5,Data!G5,Data!J5,Data!M5,Data!P5,Data!S5)-MIN(Data!D5,Data!G5,Data!J5,Data!M5,Data!P5,Data!S5)))))</f>
        <v/>
      </c>
      <c r="D4" s="13">
        <f>IF(COUNT(Data!D5,Data!G5,Data!J5,Data!M5,Data!P5,Data!S5)&lt;6,"",IF(MAX(Data!D5,Data!G5,Data!J5,Data!M5,Data!P5,Data!S5)=MIN(Data!D5,Data!G5,Data!J5,Data!M5,Data!P5,Data!S5),"",IF(Data!$C5="Lower is better",100*(MAX(Data!D5,Data!G5,Data!J5,Data!M5,Data!P5,Data!S5)-Data!G5)/(MAX(Data!D5,Data!G5,Data!J5,Data!M5,Data!P5,Data!S5)-MIN(Data!D5,Data!G5,Data!J5,Data!M5,Data!P5,Data!S5)),100*(Data!G5-MIN(Data!D5,Data!G5,Data!J5,Data!M5,Data!P5,Data!S5))/(MAX(Data!D5,Data!G5,Data!J5,Data!M5,Data!P5,Data!S5)-MIN(Data!D5,Data!G5,Data!J5,Data!M5,Data!P5,Data!S5)))))</f>
        <v/>
      </c>
      <c r="E4" s="13">
        <f>IF(COUNT(Data!D5,Data!G5,Data!J5,Data!M5,Data!P5,Data!S5)&lt;6,"",IF(MAX(Data!D5,Data!G5,Data!J5,Data!M5,Data!P5,Data!S5)=MIN(Data!D5,Data!G5,Data!J5,Data!M5,Data!P5,Data!S5),"",IF(Data!$C5="Lower is better",100*(MAX(Data!D5,Data!G5,Data!J5,Data!M5,Data!P5,Data!S5)-Data!J5)/(MAX(Data!D5,Data!G5,Data!J5,Data!M5,Data!P5,Data!S5)-MIN(Data!D5,Data!G5,Data!J5,Data!M5,Data!P5,Data!S5)),100*(Data!J5-MIN(Data!D5,Data!G5,Data!J5,Data!M5,Data!P5,Data!S5))/(MAX(Data!D5,Data!G5,Data!J5,Data!M5,Data!P5,Data!S5)-MIN(Data!D5,Data!G5,Data!J5,Data!M5,Data!P5,Data!S5)))))</f>
        <v/>
      </c>
      <c r="F4" s="13">
        <f>IF(COUNT(Data!D5,Data!G5,Data!J5,Data!M5,Data!P5,Data!S5)&lt;6,"",IF(MAX(Data!D5,Data!G5,Data!J5,Data!M5,Data!P5,Data!S5)=MIN(Data!D5,Data!G5,Data!J5,Data!M5,Data!P5,Data!S5),"",IF(Data!$C5="Lower is better",100*(MAX(Data!D5,Data!G5,Data!J5,Data!M5,Data!P5,Data!S5)-Data!M5)/(MAX(Data!D5,Data!G5,Data!J5,Data!M5,Data!P5,Data!S5)-MIN(Data!D5,Data!G5,Data!J5,Data!M5,Data!P5,Data!S5)),100*(Data!M5-MIN(Data!D5,Data!G5,Data!J5,Data!M5,Data!P5,Data!S5))/(MAX(Data!D5,Data!G5,Data!J5,Data!M5,Data!P5,Data!S5)-MIN(Data!D5,Data!G5,Data!J5,Data!M5,Data!P5,Data!S5)))))</f>
        <v/>
      </c>
      <c r="G4" s="13">
        <f>IF(COUNT(Data!D5,Data!G5,Data!J5,Data!M5,Data!P5,Data!S5)&lt;6,"",IF(MAX(Data!D5,Data!G5,Data!J5,Data!M5,Data!P5,Data!S5)=MIN(Data!D5,Data!G5,Data!J5,Data!M5,Data!P5,Data!S5),"",IF(Data!$C5="Lower is better",100*(MAX(Data!D5,Data!G5,Data!J5,Data!M5,Data!P5,Data!S5)-Data!P5)/(MAX(Data!D5,Data!G5,Data!J5,Data!M5,Data!P5,Data!S5)-MIN(Data!D5,Data!G5,Data!J5,Data!M5,Data!P5,Data!S5)),100*(Data!P5-MIN(Data!D5,Data!G5,Data!J5,Data!M5,Data!P5,Data!S5))/(MAX(Data!D5,Data!G5,Data!J5,Data!M5,Data!P5,Data!S5)-MIN(Data!D5,Data!G5,Data!J5,Data!M5,Data!P5,Data!S5)))))</f>
        <v/>
      </c>
      <c r="H4" s="13">
        <f>IF(COUNT(Data!D5,Data!G5,Data!J5,Data!M5,Data!P5,Data!S5)&lt;6,"",IF(MAX(Data!D5,Data!G5,Data!J5,Data!M5,Data!P5,Data!S5)=MIN(Data!D5,Data!G5,Data!J5,Data!M5,Data!P5,Data!S5),"",IF(Data!$C5="Lower is better",100*(MAX(Data!D5,Data!G5,Data!J5,Data!M5,Data!P5,Data!S5)-Data!S5)/(MAX(Data!D5,Data!G5,Data!J5,Data!M5,Data!P5,Data!S5)-MIN(Data!D5,Data!G5,Data!J5,Data!M5,Data!P5,Data!S5)),100*(Data!S5-MIN(Data!D5,Data!G5,Data!J5,Data!M5,Data!P5,Data!S5))/(MAX(Data!D5,Data!G5,Data!J5,Data!M5,Data!P5,Data!S5)-MIN(Data!D5,Data!G5,Data!J5,Data!M5,Data!P5,Data!S5)))))</f>
        <v/>
      </c>
    </row>
    <row r="5">
      <c r="A5" s="8">
        <f>Indicators!A5</f>
        <v/>
      </c>
      <c r="B5" s="12">
        <f>Indicators!C5</f>
        <v/>
      </c>
      <c r="C5" s="13">
        <f>IF(COUNT(Data!D6,Data!G6,Data!J6,Data!M6,Data!P6,Data!S6)&lt;6,"",IF(MAX(Data!D6,Data!G6,Data!J6,Data!M6,Data!P6,Data!S6)=MIN(Data!D6,Data!G6,Data!J6,Data!M6,Data!P6,Data!S6),"",IF(Data!$C6="Lower is better",100*(MAX(Data!D6,Data!G6,Data!J6,Data!M6,Data!P6,Data!S6)-Data!D6)/(MAX(Data!D6,Data!G6,Data!J6,Data!M6,Data!P6,Data!S6)-MIN(Data!D6,Data!G6,Data!J6,Data!M6,Data!P6,Data!S6)),100*(Data!D6-MIN(Data!D6,Data!G6,Data!J6,Data!M6,Data!P6,Data!S6))/(MAX(Data!D6,Data!G6,Data!J6,Data!M6,Data!P6,Data!S6)-MIN(Data!D6,Data!G6,Data!J6,Data!M6,Data!P6,Data!S6)))))</f>
        <v/>
      </c>
      <c r="D5" s="13">
        <f>IF(COUNT(Data!D6,Data!G6,Data!J6,Data!M6,Data!P6,Data!S6)&lt;6,"",IF(MAX(Data!D6,Data!G6,Data!J6,Data!M6,Data!P6,Data!S6)=MIN(Data!D6,Data!G6,Data!J6,Data!M6,Data!P6,Data!S6),"",IF(Data!$C6="Lower is better",100*(MAX(Data!D6,Data!G6,Data!J6,Data!M6,Data!P6,Data!S6)-Data!G6)/(MAX(Data!D6,Data!G6,Data!J6,Data!M6,Data!P6,Data!S6)-MIN(Data!D6,Data!G6,Data!J6,Data!M6,Data!P6,Data!S6)),100*(Data!G6-MIN(Data!D6,Data!G6,Data!J6,Data!M6,Data!P6,Data!S6))/(MAX(Data!D6,Data!G6,Data!J6,Data!M6,Data!P6,Data!S6)-MIN(Data!D6,Data!G6,Data!J6,Data!M6,Data!P6,Data!S6)))))</f>
        <v/>
      </c>
      <c r="E5" s="13">
        <f>IF(COUNT(Data!D6,Data!G6,Data!J6,Data!M6,Data!P6,Data!S6)&lt;6,"",IF(MAX(Data!D6,Data!G6,Data!J6,Data!M6,Data!P6,Data!S6)=MIN(Data!D6,Data!G6,Data!J6,Data!M6,Data!P6,Data!S6),"",IF(Data!$C6="Lower is better",100*(MAX(Data!D6,Data!G6,Data!J6,Data!M6,Data!P6,Data!S6)-Data!J6)/(MAX(Data!D6,Data!G6,Data!J6,Data!M6,Data!P6,Data!S6)-MIN(Data!D6,Data!G6,Data!J6,Data!M6,Data!P6,Data!S6)),100*(Data!J6-MIN(Data!D6,Data!G6,Data!J6,Data!M6,Data!P6,Data!S6))/(MAX(Data!D6,Data!G6,Data!J6,Data!M6,Data!P6,Data!S6)-MIN(Data!D6,Data!G6,Data!J6,Data!M6,Data!P6,Data!S6)))))</f>
        <v/>
      </c>
      <c r="F5" s="13">
        <f>IF(COUNT(Data!D6,Data!G6,Data!J6,Data!M6,Data!P6,Data!S6)&lt;6,"",IF(MAX(Data!D6,Data!G6,Data!J6,Data!M6,Data!P6,Data!S6)=MIN(Data!D6,Data!G6,Data!J6,Data!M6,Data!P6,Data!S6),"",IF(Data!$C6="Lower is better",100*(MAX(Data!D6,Data!G6,Data!J6,Data!M6,Data!P6,Data!S6)-Data!M6)/(MAX(Data!D6,Data!G6,Data!J6,Data!M6,Data!P6,Data!S6)-MIN(Data!D6,Data!G6,Data!J6,Data!M6,Data!P6,Data!S6)),100*(Data!M6-MIN(Data!D6,Data!G6,Data!J6,Data!M6,Data!P6,Data!S6))/(MAX(Data!D6,Data!G6,Data!J6,Data!M6,Data!P6,Data!S6)-MIN(Data!D6,Data!G6,Data!J6,Data!M6,Data!P6,Data!S6)))))</f>
        <v/>
      </c>
      <c r="G5" s="13">
        <f>IF(COUNT(Data!D6,Data!G6,Data!J6,Data!M6,Data!P6,Data!S6)&lt;6,"",IF(MAX(Data!D6,Data!G6,Data!J6,Data!M6,Data!P6,Data!S6)=MIN(Data!D6,Data!G6,Data!J6,Data!M6,Data!P6,Data!S6),"",IF(Data!$C6="Lower is better",100*(MAX(Data!D6,Data!G6,Data!J6,Data!M6,Data!P6,Data!S6)-Data!P6)/(MAX(Data!D6,Data!G6,Data!J6,Data!M6,Data!P6,Data!S6)-MIN(Data!D6,Data!G6,Data!J6,Data!M6,Data!P6,Data!S6)),100*(Data!P6-MIN(Data!D6,Data!G6,Data!J6,Data!M6,Data!P6,Data!S6))/(MAX(Data!D6,Data!G6,Data!J6,Data!M6,Data!P6,Data!S6)-MIN(Data!D6,Data!G6,Data!J6,Data!M6,Data!P6,Data!S6)))))</f>
        <v/>
      </c>
      <c r="H5" s="13">
        <f>IF(COUNT(Data!D6,Data!G6,Data!J6,Data!M6,Data!P6,Data!S6)&lt;6,"",IF(MAX(Data!D6,Data!G6,Data!J6,Data!M6,Data!P6,Data!S6)=MIN(Data!D6,Data!G6,Data!J6,Data!M6,Data!P6,Data!S6),"",IF(Data!$C6="Lower is better",100*(MAX(Data!D6,Data!G6,Data!J6,Data!M6,Data!P6,Data!S6)-Data!S6)/(MAX(Data!D6,Data!G6,Data!J6,Data!M6,Data!P6,Data!S6)-MIN(Data!D6,Data!G6,Data!J6,Data!M6,Data!P6,Data!S6)),100*(Data!S6-MIN(Data!D6,Data!G6,Data!J6,Data!M6,Data!P6,Data!S6))/(MAX(Data!D6,Data!G6,Data!J6,Data!M6,Data!P6,Data!S6)-MIN(Data!D6,Data!G6,Data!J6,Data!M6,Data!P6,Data!S6)))))</f>
        <v/>
      </c>
    </row>
    <row r="6">
      <c r="A6" s="8">
        <f>Indicators!A6</f>
        <v/>
      </c>
      <c r="B6" s="12">
        <f>Indicators!C6</f>
        <v/>
      </c>
      <c r="C6" s="13">
        <f>IF(COUNT(Data!D7,Data!G7,Data!J7,Data!M7,Data!P7,Data!S7)&lt;6,"",IF(MAX(Data!D7,Data!G7,Data!J7,Data!M7,Data!P7,Data!S7)=MIN(Data!D7,Data!G7,Data!J7,Data!M7,Data!P7,Data!S7),"",IF(Data!$C7="Lower is better",100*(MAX(Data!D7,Data!G7,Data!J7,Data!M7,Data!P7,Data!S7)-Data!D7)/(MAX(Data!D7,Data!G7,Data!J7,Data!M7,Data!P7,Data!S7)-MIN(Data!D7,Data!G7,Data!J7,Data!M7,Data!P7,Data!S7)),100*(Data!D7-MIN(Data!D7,Data!G7,Data!J7,Data!M7,Data!P7,Data!S7))/(MAX(Data!D7,Data!G7,Data!J7,Data!M7,Data!P7,Data!S7)-MIN(Data!D7,Data!G7,Data!J7,Data!M7,Data!P7,Data!S7)))))</f>
        <v/>
      </c>
      <c r="D6" s="13">
        <f>IF(COUNT(Data!D7,Data!G7,Data!J7,Data!M7,Data!P7,Data!S7)&lt;6,"",IF(MAX(Data!D7,Data!G7,Data!J7,Data!M7,Data!P7,Data!S7)=MIN(Data!D7,Data!G7,Data!J7,Data!M7,Data!P7,Data!S7),"",IF(Data!$C7="Lower is better",100*(MAX(Data!D7,Data!G7,Data!J7,Data!M7,Data!P7,Data!S7)-Data!G7)/(MAX(Data!D7,Data!G7,Data!J7,Data!M7,Data!P7,Data!S7)-MIN(Data!D7,Data!G7,Data!J7,Data!M7,Data!P7,Data!S7)),100*(Data!G7-MIN(Data!D7,Data!G7,Data!J7,Data!M7,Data!P7,Data!S7))/(MAX(Data!D7,Data!G7,Data!J7,Data!M7,Data!P7,Data!S7)-MIN(Data!D7,Data!G7,Data!J7,Data!M7,Data!P7,Data!S7)))))</f>
        <v/>
      </c>
      <c r="E6" s="13">
        <f>IF(COUNT(Data!D7,Data!G7,Data!J7,Data!M7,Data!P7,Data!S7)&lt;6,"",IF(MAX(Data!D7,Data!G7,Data!J7,Data!M7,Data!P7,Data!S7)=MIN(Data!D7,Data!G7,Data!J7,Data!M7,Data!P7,Data!S7),"",IF(Data!$C7="Lower is better",100*(MAX(Data!D7,Data!G7,Data!J7,Data!M7,Data!P7,Data!S7)-Data!J7)/(MAX(Data!D7,Data!G7,Data!J7,Data!M7,Data!P7,Data!S7)-MIN(Data!D7,Data!G7,Data!J7,Data!M7,Data!P7,Data!S7)),100*(Data!J7-MIN(Data!D7,Data!G7,Data!J7,Data!M7,Data!P7,Data!S7))/(MAX(Data!D7,Data!G7,Data!J7,Data!M7,Data!P7,Data!S7)-MIN(Data!D7,Data!G7,Data!J7,Data!M7,Data!P7,Data!S7)))))</f>
        <v/>
      </c>
      <c r="F6" s="13">
        <f>IF(COUNT(Data!D7,Data!G7,Data!J7,Data!M7,Data!P7,Data!S7)&lt;6,"",IF(MAX(Data!D7,Data!G7,Data!J7,Data!M7,Data!P7,Data!S7)=MIN(Data!D7,Data!G7,Data!J7,Data!M7,Data!P7,Data!S7),"",IF(Data!$C7="Lower is better",100*(MAX(Data!D7,Data!G7,Data!J7,Data!M7,Data!P7,Data!S7)-Data!M7)/(MAX(Data!D7,Data!G7,Data!J7,Data!M7,Data!P7,Data!S7)-MIN(Data!D7,Data!G7,Data!J7,Data!M7,Data!P7,Data!S7)),100*(Data!M7-MIN(Data!D7,Data!G7,Data!J7,Data!M7,Data!P7,Data!S7))/(MAX(Data!D7,Data!G7,Data!J7,Data!M7,Data!P7,Data!S7)-MIN(Data!D7,Data!G7,Data!J7,Data!M7,Data!P7,Data!S7)))))</f>
        <v/>
      </c>
      <c r="G6" s="13">
        <f>IF(COUNT(Data!D7,Data!G7,Data!J7,Data!M7,Data!P7,Data!S7)&lt;6,"",IF(MAX(Data!D7,Data!G7,Data!J7,Data!M7,Data!P7,Data!S7)=MIN(Data!D7,Data!G7,Data!J7,Data!M7,Data!P7,Data!S7),"",IF(Data!$C7="Lower is better",100*(MAX(Data!D7,Data!G7,Data!J7,Data!M7,Data!P7,Data!S7)-Data!P7)/(MAX(Data!D7,Data!G7,Data!J7,Data!M7,Data!P7,Data!S7)-MIN(Data!D7,Data!G7,Data!J7,Data!M7,Data!P7,Data!S7)),100*(Data!P7-MIN(Data!D7,Data!G7,Data!J7,Data!M7,Data!P7,Data!S7))/(MAX(Data!D7,Data!G7,Data!J7,Data!M7,Data!P7,Data!S7)-MIN(Data!D7,Data!G7,Data!J7,Data!M7,Data!P7,Data!S7)))))</f>
        <v/>
      </c>
      <c r="H6" s="13">
        <f>IF(COUNT(Data!D7,Data!G7,Data!J7,Data!M7,Data!P7,Data!S7)&lt;6,"",IF(MAX(Data!D7,Data!G7,Data!J7,Data!M7,Data!P7,Data!S7)=MIN(Data!D7,Data!G7,Data!J7,Data!M7,Data!P7,Data!S7),"",IF(Data!$C7="Lower is better",100*(MAX(Data!D7,Data!G7,Data!J7,Data!M7,Data!P7,Data!S7)-Data!S7)/(MAX(Data!D7,Data!G7,Data!J7,Data!M7,Data!P7,Data!S7)-MIN(Data!D7,Data!G7,Data!J7,Data!M7,Data!P7,Data!S7)),100*(Data!S7-MIN(Data!D7,Data!G7,Data!J7,Data!M7,Data!P7,Data!S7))/(MAX(Data!D7,Data!G7,Data!J7,Data!M7,Data!P7,Data!S7)-MIN(Data!D7,Data!G7,Data!J7,Data!M7,Data!P7,Data!S7)))))</f>
        <v/>
      </c>
    </row>
    <row r="7">
      <c r="A7" s="8">
        <f>Indicators!A7</f>
        <v/>
      </c>
      <c r="B7" s="12">
        <f>Indicators!C7</f>
        <v/>
      </c>
      <c r="C7" s="13">
        <f>IF(COUNT(Data!D8,Data!G8,Data!J8,Data!M8,Data!P8,Data!S8)&lt;6,"",IF(MAX(Data!D8,Data!G8,Data!J8,Data!M8,Data!P8,Data!S8)=MIN(Data!D8,Data!G8,Data!J8,Data!M8,Data!P8,Data!S8),"",IF(Data!$C8="Lower is better",100*(MAX(Data!D8,Data!G8,Data!J8,Data!M8,Data!P8,Data!S8)-Data!D8)/(MAX(Data!D8,Data!G8,Data!J8,Data!M8,Data!P8,Data!S8)-MIN(Data!D8,Data!G8,Data!J8,Data!M8,Data!P8,Data!S8)),100*(Data!D8-MIN(Data!D8,Data!G8,Data!J8,Data!M8,Data!P8,Data!S8))/(MAX(Data!D8,Data!G8,Data!J8,Data!M8,Data!P8,Data!S8)-MIN(Data!D8,Data!G8,Data!J8,Data!M8,Data!P8,Data!S8)))))</f>
        <v/>
      </c>
      <c r="D7" s="13">
        <f>IF(COUNT(Data!D8,Data!G8,Data!J8,Data!M8,Data!P8,Data!S8)&lt;6,"",IF(MAX(Data!D8,Data!G8,Data!J8,Data!M8,Data!P8,Data!S8)=MIN(Data!D8,Data!G8,Data!J8,Data!M8,Data!P8,Data!S8),"",IF(Data!$C8="Lower is better",100*(MAX(Data!D8,Data!G8,Data!J8,Data!M8,Data!P8,Data!S8)-Data!G8)/(MAX(Data!D8,Data!G8,Data!J8,Data!M8,Data!P8,Data!S8)-MIN(Data!D8,Data!G8,Data!J8,Data!M8,Data!P8,Data!S8)),100*(Data!G8-MIN(Data!D8,Data!G8,Data!J8,Data!M8,Data!P8,Data!S8))/(MAX(Data!D8,Data!G8,Data!J8,Data!M8,Data!P8,Data!S8)-MIN(Data!D8,Data!G8,Data!J8,Data!M8,Data!P8,Data!S8)))))</f>
        <v/>
      </c>
      <c r="E7" s="13">
        <f>IF(COUNT(Data!D8,Data!G8,Data!J8,Data!M8,Data!P8,Data!S8)&lt;6,"",IF(MAX(Data!D8,Data!G8,Data!J8,Data!M8,Data!P8,Data!S8)=MIN(Data!D8,Data!G8,Data!J8,Data!M8,Data!P8,Data!S8),"",IF(Data!$C8="Lower is better",100*(MAX(Data!D8,Data!G8,Data!J8,Data!M8,Data!P8,Data!S8)-Data!J8)/(MAX(Data!D8,Data!G8,Data!J8,Data!M8,Data!P8,Data!S8)-MIN(Data!D8,Data!G8,Data!J8,Data!M8,Data!P8,Data!S8)),100*(Data!J8-MIN(Data!D8,Data!G8,Data!J8,Data!M8,Data!P8,Data!S8))/(MAX(Data!D8,Data!G8,Data!J8,Data!M8,Data!P8,Data!S8)-MIN(Data!D8,Data!G8,Data!J8,Data!M8,Data!P8,Data!S8)))))</f>
        <v/>
      </c>
      <c r="F7" s="13">
        <f>IF(COUNT(Data!D8,Data!G8,Data!J8,Data!M8,Data!P8,Data!S8)&lt;6,"",IF(MAX(Data!D8,Data!G8,Data!J8,Data!M8,Data!P8,Data!S8)=MIN(Data!D8,Data!G8,Data!J8,Data!M8,Data!P8,Data!S8),"",IF(Data!$C8="Lower is better",100*(MAX(Data!D8,Data!G8,Data!J8,Data!M8,Data!P8,Data!S8)-Data!M8)/(MAX(Data!D8,Data!G8,Data!J8,Data!M8,Data!P8,Data!S8)-MIN(Data!D8,Data!G8,Data!J8,Data!M8,Data!P8,Data!S8)),100*(Data!M8-MIN(Data!D8,Data!G8,Data!J8,Data!M8,Data!P8,Data!S8))/(MAX(Data!D8,Data!G8,Data!J8,Data!M8,Data!P8,Data!S8)-MIN(Data!D8,Data!G8,Data!J8,Data!M8,Data!P8,Data!S8)))))</f>
        <v/>
      </c>
      <c r="G7" s="13">
        <f>IF(COUNT(Data!D8,Data!G8,Data!J8,Data!M8,Data!P8,Data!S8)&lt;6,"",IF(MAX(Data!D8,Data!G8,Data!J8,Data!M8,Data!P8,Data!S8)=MIN(Data!D8,Data!G8,Data!J8,Data!M8,Data!P8,Data!S8),"",IF(Data!$C8="Lower is better",100*(MAX(Data!D8,Data!G8,Data!J8,Data!M8,Data!P8,Data!S8)-Data!P8)/(MAX(Data!D8,Data!G8,Data!J8,Data!M8,Data!P8,Data!S8)-MIN(Data!D8,Data!G8,Data!J8,Data!M8,Data!P8,Data!S8)),100*(Data!P8-MIN(Data!D8,Data!G8,Data!J8,Data!M8,Data!P8,Data!S8))/(MAX(Data!D8,Data!G8,Data!J8,Data!M8,Data!P8,Data!S8)-MIN(Data!D8,Data!G8,Data!J8,Data!M8,Data!P8,Data!S8)))))</f>
        <v/>
      </c>
      <c r="H7" s="13">
        <f>IF(COUNT(Data!D8,Data!G8,Data!J8,Data!M8,Data!P8,Data!S8)&lt;6,"",IF(MAX(Data!D8,Data!G8,Data!J8,Data!M8,Data!P8,Data!S8)=MIN(Data!D8,Data!G8,Data!J8,Data!M8,Data!P8,Data!S8),"",IF(Data!$C8="Lower is better",100*(MAX(Data!D8,Data!G8,Data!J8,Data!M8,Data!P8,Data!S8)-Data!S8)/(MAX(Data!D8,Data!G8,Data!J8,Data!M8,Data!P8,Data!S8)-MIN(Data!D8,Data!G8,Data!J8,Data!M8,Data!P8,Data!S8)),100*(Data!S8-MIN(Data!D8,Data!G8,Data!J8,Data!M8,Data!P8,Data!S8))/(MAX(Data!D8,Data!G8,Data!J8,Data!M8,Data!P8,Data!S8)-MIN(Data!D8,Data!G8,Data!J8,Data!M8,Data!P8,Data!S8)))))</f>
        <v/>
      </c>
    </row>
    <row r="8">
      <c r="A8" s="8">
        <f>Indicators!A8</f>
        <v/>
      </c>
      <c r="B8" s="12">
        <f>Indicators!C8</f>
        <v/>
      </c>
      <c r="C8" s="13">
        <f>IF(COUNT(Data!D9,Data!G9,Data!J9,Data!M9,Data!P9,Data!S9)&lt;6,"",IF(MAX(Data!D9,Data!G9,Data!J9,Data!M9,Data!P9,Data!S9)=MIN(Data!D9,Data!G9,Data!J9,Data!M9,Data!P9,Data!S9),"",IF(Data!$C9="Lower is better",100*(MAX(Data!D9,Data!G9,Data!J9,Data!M9,Data!P9,Data!S9)-Data!D9)/(MAX(Data!D9,Data!G9,Data!J9,Data!M9,Data!P9,Data!S9)-MIN(Data!D9,Data!G9,Data!J9,Data!M9,Data!P9,Data!S9)),100*(Data!D9-MIN(Data!D9,Data!G9,Data!J9,Data!M9,Data!P9,Data!S9))/(MAX(Data!D9,Data!G9,Data!J9,Data!M9,Data!P9,Data!S9)-MIN(Data!D9,Data!G9,Data!J9,Data!M9,Data!P9,Data!S9)))))</f>
        <v/>
      </c>
      <c r="D8" s="13">
        <f>IF(COUNT(Data!D9,Data!G9,Data!J9,Data!M9,Data!P9,Data!S9)&lt;6,"",IF(MAX(Data!D9,Data!G9,Data!J9,Data!M9,Data!P9,Data!S9)=MIN(Data!D9,Data!G9,Data!J9,Data!M9,Data!P9,Data!S9),"",IF(Data!$C9="Lower is better",100*(MAX(Data!D9,Data!G9,Data!J9,Data!M9,Data!P9,Data!S9)-Data!G9)/(MAX(Data!D9,Data!G9,Data!J9,Data!M9,Data!P9,Data!S9)-MIN(Data!D9,Data!G9,Data!J9,Data!M9,Data!P9,Data!S9)),100*(Data!G9-MIN(Data!D9,Data!G9,Data!J9,Data!M9,Data!P9,Data!S9))/(MAX(Data!D9,Data!G9,Data!J9,Data!M9,Data!P9,Data!S9)-MIN(Data!D9,Data!G9,Data!J9,Data!M9,Data!P9,Data!S9)))))</f>
        <v/>
      </c>
      <c r="E8" s="13">
        <f>IF(COUNT(Data!D9,Data!G9,Data!J9,Data!M9,Data!P9,Data!S9)&lt;6,"",IF(MAX(Data!D9,Data!G9,Data!J9,Data!M9,Data!P9,Data!S9)=MIN(Data!D9,Data!G9,Data!J9,Data!M9,Data!P9,Data!S9),"",IF(Data!$C9="Lower is better",100*(MAX(Data!D9,Data!G9,Data!J9,Data!M9,Data!P9,Data!S9)-Data!J9)/(MAX(Data!D9,Data!G9,Data!J9,Data!M9,Data!P9,Data!S9)-MIN(Data!D9,Data!G9,Data!J9,Data!M9,Data!P9,Data!S9)),100*(Data!J9-MIN(Data!D9,Data!G9,Data!J9,Data!M9,Data!P9,Data!S9))/(MAX(Data!D9,Data!G9,Data!J9,Data!M9,Data!P9,Data!S9)-MIN(Data!D9,Data!G9,Data!J9,Data!M9,Data!P9,Data!S9)))))</f>
        <v/>
      </c>
      <c r="F8" s="13">
        <f>IF(COUNT(Data!D9,Data!G9,Data!J9,Data!M9,Data!P9,Data!S9)&lt;6,"",IF(MAX(Data!D9,Data!G9,Data!J9,Data!M9,Data!P9,Data!S9)=MIN(Data!D9,Data!G9,Data!J9,Data!M9,Data!P9,Data!S9),"",IF(Data!$C9="Lower is better",100*(MAX(Data!D9,Data!G9,Data!J9,Data!M9,Data!P9,Data!S9)-Data!M9)/(MAX(Data!D9,Data!G9,Data!J9,Data!M9,Data!P9,Data!S9)-MIN(Data!D9,Data!G9,Data!J9,Data!M9,Data!P9,Data!S9)),100*(Data!M9-MIN(Data!D9,Data!G9,Data!J9,Data!M9,Data!P9,Data!S9))/(MAX(Data!D9,Data!G9,Data!J9,Data!M9,Data!P9,Data!S9)-MIN(Data!D9,Data!G9,Data!J9,Data!M9,Data!P9,Data!S9)))))</f>
        <v/>
      </c>
      <c r="G8" s="13">
        <f>IF(COUNT(Data!D9,Data!G9,Data!J9,Data!M9,Data!P9,Data!S9)&lt;6,"",IF(MAX(Data!D9,Data!G9,Data!J9,Data!M9,Data!P9,Data!S9)=MIN(Data!D9,Data!G9,Data!J9,Data!M9,Data!P9,Data!S9),"",IF(Data!$C9="Lower is better",100*(MAX(Data!D9,Data!G9,Data!J9,Data!M9,Data!P9,Data!S9)-Data!P9)/(MAX(Data!D9,Data!G9,Data!J9,Data!M9,Data!P9,Data!S9)-MIN(Data!D9,Data!G9,Data!J9,Data!M9,Data!P9,Data!S9)),100*(Data!P9-MIN(Data!D9,Data!G9,Data!J9,Data!M9,Data!P9,Data!S9))/(MAX(Data!D9,Data!G9,Data!J9,Data!M9,Data!P9,Data!S9)-MIN(Data!D9,Data!G9,Data!J9,Data!M9,Data!P9,Data!S9)))))</f>
        <v/>
      </c>
      <c r="H8" s="13">
        <f>IF(COUNT(Data!D9,Data!G9,Data!J9,Data!M9,Data!P9,Data!S9)&lt;6,"",IF(MAX(Data!D9,Data!G9,Data!J9,Data!M9,Data!P9,Data!S9)=MIN(Data!D9,Data!G9,Data!J9,Data!M9,Data!P9,Data!S9),"",IF(Data!$C9="Lower is better",100*(MAX(Data!D9,Data!G9,Data!J9,Data!M9,Data!P9,Data!S9)-Data!S9)/(MAX(Data!D9,Data!G9,Data!J9,Data!M9,Data!P9,Data!S9)-MIN(Data!D9,Data!G9,Data!J9,Data!M9,Data!P9,Data!S9)),100*(Data!S9-MIN(Data!D9,Data!G9,Data!J9,Data!M9,Data!P9,Data!S9))/(MAX(Data!D9,Data!G9,Data!J9,Data!M9,Data!P9,Data!S9)-MIN(Data!D9,Data!G9,Data!J9,Data!M9,Data!P9,Data!S9)))))</f>
        <v/>
      </c>
    </row>
    <row r="9">
      <c r="A9" s="8">
        <f>Indicators!A9</f>
        <v/>
      </c>
      <c r="B9" s="12">
        <f>Indicators!C9</f>
        <v/>
      </c>
      <c r="C9" s="13">
        <f>IF(COUNT(Data!D10,Data!G10,Data!J10,Data!M10,Data!P10,Data!S10)&lt;6,"",IF(MAX(Data!D10,Data!G10,Data!J10,Data!M10,Data!P10,Data!S10)=MIN(Data!D10,Data!G10,Data!J10,Data!M10,Data!P10,Data!S10),"",IF(Data!$C10="Lower is better",100*(MAX(Data!D10,Data!G10,Data!J10,Data!M10,Data!P10,Data!S10)-Data!D10)/(MAX(Data!D10,Data!G10,Data!J10,Data!M10,Data!P10,Data!S10)-MIN(Data!D10,Data!G10,Data!J10,Data!M10,Data!P10,Data!S10)),100*(Data!D10-MIN(Data!D10,Data!G10,Data!J10,Data!M10,Data!P10,Data!S10))/(MAX(Data!D10,Data!G10,Data!J10,Data!M10,Data!P10,Data!S10)-MIN(Data!D10,Data!G10,Data!J10,Data!M10,Data!P10,Data!S10)))))</f>
        <v/>
      </c>
      <c r="D9" s="13">
        <f>IF(COUNT(Data!D10,Data!G10,Data!J10,Data!M10,Data!P10,Data!S10)&lt;6,"",IF(MAX(Data!D10,Data!G10,Data!J10,Data!M10,Data!P10,Data!S10)=MIN(Data!D10,Data!G10,Data!J10,Data!M10,Data!P10,Data!S10),"",IF(Data!$C10="Lower is better",100*(MAX(Data!D10,Data!G10,Data!J10,Data!M10,Data!P10,Data!S10)-Data!G10)/(MAX(Data!D10,Data!G10,Data!J10,Data!M10,Data!P10,Data!S10)-MIN(Data!D10,Data!G10,Data!J10,Data!M10,Data!P10,Data!S10)),100*(Data!G10-MIN(Data!D10,Data!G10,Data!J10,Data!M10,Data!P10,Data!S10))/(MAX(Data!D10,Data!G10,Data!J10,Data!M10,Data!P10,Data!S10)-MIN(Data!D10,Data!G10,Data!J10,Data!M10,Data!P10,Data!S10)))))</f>
        <v/>
      </c>
      <c r="E9" s="13">
        <f>IF(COUNT(Data!D10,Data!G10,Data!J10,Data!M10,Data!P10,Data!S10)&lt;6,"",IF(MAX(Data!D10,Data!G10,Data!J10,Data!M10,Data!P10,Data!S10)=MIN(Data!D10,Data!G10,Data!J10,Data!M10,Data!P10,Data!S10),"",IF(Data!$C10="Lower is better",100*(MAX(Data!D10,Data!G10,Data!J10,Data!M10,Data!P10,Data!S10)-Data!J10)/(MAX(Data!D10,Data!G10,Data!J10,Data!M10,Data!P10,Data!S10)-MIN(Data!D10,Data!G10,Data!J10,Data!M10,Data!P10,Data!S10)),100*(Data!J10-MIN(Data!D10,Data!G10,Data!J10,Data!M10,Data!P10,Data!S10))/(MAX(Data!D10,Data!G10,Data!J10,Data!M10,Data!P10,Data!S10)-MIN(Data!D10,Data!G10,Data!J10,Data!M10,Data!P10,Data!S10)))))</f>
        <v/>
      </c>
      <c r="F9" s="13">
        <f>IF(COUNT(Data!D10,Data!G10,Data!J10,Data!M10,Data!P10,Data!S10)&lt;6,"",IF(MAX(Data!D10,Data!G10,Data!J10,Data!M10,Data!P10,Data!S10)=MIN(Data!D10,Data!G10,Data!J10,Data!M10,Data!P10,Data!S10),"",IF(Data!$C10="Lower is better",100*(MAX(Data!D10,Data!G10,Data!J10,Data!M10,Data!P10,Data!S10)-Data!M10)/(MAX(Data!D10,Data!G10,Data!J10,Data!M10,Data!P10,Data!S10)-MIN(Data!D10,Data!G10,Data!J10,Data!M10,Data!P10,Data!S10)),100*(Data!M10-MIN(Data!D10,Data!G10,Data!J10,Data!M10,Data!P10,Data!S10))/(MAX(Data!D10,Data!G10,Data!J10,Data!M10,Data!P10,Data!S10)-MIN(Data!D10,Data!G10,Data!J10,Data!M10,Data!P10,Data!S10)))))</f>
        <v/>
      </c>
      <c r="G9" s="13">
        <f>IF(COUNT(Data!D10,Data!G10,Data!J10,Data!M10,Data!P10,Data!S10)&lt;6,"",IF(MAX(Data!D10,Data!G10,Data!J10,Data!M10,Data!P10,Data!S10)=MIN(Data!D10,Data!G10,Data!J10,Data!M10,Data!P10,Data!S10),"",IF(Data!$C10="Lower is better",100*(MAX(Data!D10,Data!G10,Data!J10,Data!M10,Data!P10,Data!S10)-Data!P10)/(MAX(Data!D10,Data!G10,Data!J10,Data!M10,Data!P10,Data!S10)-MIN(Data!D10,Data!G10,Data!J10,Data!M10,Data!P10,Data!S10)),100*(Data!P10-MIN(Data!D10,Data!G10,Data!J10,Data!M10,Data!P10,Data!S10))/(MAX(Data!D10,Data!G10,Data!J10,Data!M10,Data!P10,Data!S10)-MIN(Data!D10,Data!G10,Data!J10,Data!M10,Data!P10,Data!S10)))))</f>
        <v/>
      </c>
      <c r="H9" s="13">
        <f>IF(COUNT(Data!D10,Data!G10,Data!J10,Data!M10,Data!P10,Data!S10)&lt;6,"",IF(MAX(Data!D10,Data!G10,Data!J10,Data!M10,Data!P10,Data!S10)=MIN(Data!D10,Data!G10,Data!J10,Data!M10,Data!P10,Data!S10),"",IF(Data!$C10="Lower is better",100*(MAX(Data!D10,Data!G10,Data!J10,Data!M10,Data!P10,Data!S10)-Data!S10)/(MAX(Data!D10,Data!G10,Data!J10,Data!M10,Data!P10,Data!S10)-MIN(Data!D10,Data!G10,Data!J10,Data!M10,Data!P10,Data!S10)),100*(Data!S10-MIN(Data!D10,Data!G10,Data!J10,Data!M10,Data!P10,Data!S10))/(MAX(Data!D10,Data!G10,Data!J10,Data!M10,Data!P10,Data!S10)-MIN(Data!D10,Data!G10,Data!J10,Data!M10,Data!P10,Data!S10)))))</f>
        <v/>
      </c>
    </row>
    <row r="10">
      <c r="A10" s="8">
        <f>Indicators!A10</f>
        <v/>
      </c>
      <c r="B10" s="12">
        <f>Indicators!C10</f>
        <v/>
      </c>
      <c r="C10" s="13">
        <f>IF(COUNT(Data!D11,Data!G11,Data!J11,Data!M11,Data!P11,Data!S11)&lt;6,"",IF(MAX(Data!D11,Data!G11,Data!J11,Data!M11,Data!P11,Data!S11)=MIN(Data!D11,Data!G11,Data!J11,Data!M11,Data!P11,Data!S11),"",IF(Data!$C11="Lower is better",100*(MAX(Data!D11,Data!G11,Data!J11,Data!M11,Data!P11,Data!S11)-Data!D11)/(MAX(Data!D11,Data!G11,Data!J11,Data!M11,Data!P11,Data!S11)-MIN(Data!D11,Data!G11,Data!J11,Data!M11,Data!P11,Data!S11)),100*(Data!D11-MIN(Data!D11,Data!G11,Data!J11,Data!M11,Data!P11,Data!S11))/(MAX(Data!D11,Data!G11,Data!J11,Data!M11,Data!P11,Data!S11)-MIN(Data!D11,Data!G11,Data!J11,Data!M11,Data!P11,Data!S11)))))</f>
        <v/>
      </c>
      <c r="D10" s="13">
        <f>IF(COUNT(Data!D11,Data!G11,Data!J11,Data!M11,Data!P11,Data!S11)&lt;6,"",IF(MAX(Data!D11,Data!G11,Data!J11,Data!M11,Data!P11,Data!S11)=MIN(Data!D11,Data!G11,Data!J11,Data!M11,Data!P11,Data!S11),"",IF(Data!$C11="Lower is better",100*(MAX(Data!D11,Data!G11,Data!J11,Data!M11,Data!P11,Data!S11)-Data!G11)/(MAX(Data!D11,Data!G11,Data!J11,Data!M11,Data!P11,Data!S11)-MIN(Data!D11,Data!G11,Data!J11,Data!M11,Data!P11,Data!S11)),100*(Data!G11-MIN(Data!D11,Data!G11,Data!J11,Data!M11,Data!P11,Data!S11))/(MAX(Data!D11,Data!G11,Data!J11,Data!M11,Data!P11,Data!S11)-MIN(Data!D11,Data!G11,Data!J11,Data!M11,Data!P11,Data!S11)))))</f>
        <v/>
      </c>
      <c r="E10" s="13">
        <f>IF(COUNT(Data!D11,Data!G11,Data!J11,Data!M11,Data!P11,Data!S11)&lt;6,"",IF(MAX(Data!D11,Data!G11,Data!J11,Data!M11,Data!P11,Data!S11)=MIN(Data!D11,Data!G11,Data!J11,Data!M11,Data!P11,Data!S11),"",IF(Data!$C11="Lower is better",100*(MAX(Data!D11,Data!G11,Data!J11,Data!M11,Data!P11,Data!S11)-Data!J11)/(MAX(Data!D11,Data!G11,Data!J11,Data!M11,Data!P11,Data!S11)-MIN(Data!D11,Data!G11,Data!J11,Data!M11,Data!P11,Data!S11)),100*(Data!J11-MIN(Data!D11,Data!G11,Data!J11,Data!M11,Data!P11,Data!S11))/(MAX(Data!D11,Data!G11,Data!J11,Data!M11,Data!P11,Data!S11)-MIN(Data!D11,Data!G11,Data!J11,Data!M11,Data!P11,Data!S11)))))</f>
        <v/>
      </c>
      <c r="F10" s="13">
        <f>IF(COUNT(Data!D11,Data!G11,Data!J11,Data!M11,Data!P11,Data!S11)&lt;6,"",IF(MAX(Data!D11,Data!G11,Data!J11,Data!M11,Data!P11,Data!S11)=MIN(Data!D11,Data!G11,Data!J11,Data!M11,Data!P11,Data!S11),"",IF(Data!$C11="Lower is better",100*(MAX(Data!D11,Data!G11,Data!J11,Data!M11,Data!P11,Data!S11)-Data!M11)/(MAX(Data!D11,Data!G11,Data!J11,Data!M11,Data!P11,Data!S11)-MIN(Data!D11,Data!G11,Data!J11,Data!M11,Data!P11,Data!S11)),100*(Data!M11-MIN(Data!D11,Data!G11,Data!J11,Data!M11,Data!P11,Data!S11))/(MAX(Data!D11,Data!G11,Data!J11,Data!M11,Data!P11,Data!S11)-MIN(Data!D11,Data!G11,Data!J11,Data!M11,Data!P11,Data!S11)))))</f>
        <v/>
      </c>
      <c r="G10" s="13">
        <f>IF(COUNT(Data!D11,Data!G11,Data!J11,Data!M11,Data!P11,Data!S11)&lt;6,"",IF(MAX(Data!D11,Data!G11,Data!J11,Data!M11,Data!P11,Data!S11)=MIN(Data!D11,Data!G11,Data!J11,Data!M11,Data!P11,Data!S11),"",IF(Data!$C11="Lower is better",100*(MAX(Data!D11,Data!G11,Data!J11,Data!M11,Data!P11,Data!S11)-Data!P11)/(MAX(Data!D11,Data!G11,Data!J11,Data!M11,Data!P11,Data!S11)-MIN(Data!D11,Data!G11,Data!J11,Data!M11,Data!P11,Data!S11)),100*(Data!P11-MIN(Data!D11,Data!G11,Data!J11,Data!M11,Data!P11,Data!S11))/(MAX(Data!D11,Data!G11,Data!J11,Data!M11,Data!P11,Data!S11)-MIN(Data!D11,Data!G11,Data!J11,Data!M11,Data!P11,Data!S11)))))</f>
        <v/>
      </c>
      <c r="H10" s="13">
        <f>IF(COUNT(Data!D11,Data!G11,Data!J11,Data!M11,Data!P11,Data!S11)&lt;6,"",IF(MAX(Data!D11,Data!G11,Data!J11,Data!M11,Data!P11,Data!S11)=MIN(Data!D11,Data!G11,Data!J11,Data!M11,Data!P11,Data!S11),"",IF(Data!$C11="Lower is better",100*(MAX(Data!D11,Data!G11,Data!J11,Data!M11,Data!P11,Data!S11)-Data!S11)/(MAX(Data!D11,Data!G11,Data!J11,Data!M11,Data!P11,Data!S11)-MIN(Data!D11,Data!G11,Data!J11,Data!M11,Data!P11,Data!S11)),100*(Data!S11-MIN(Data!D11,Data!G11,Data!J11,Data!M11,Data!P11,Data!S11))/(MAX(Data!D11,Data!G11,Data!J11,Data!M11,Data!P11,Data!S11)-MIN(Data!D11,Data!G11,Data!J11,Data!M11,Data!P11,Data!S11)))))</f>
        <v/>
      </c>
    </row>
    <row r="11">
      <c r="A11" s="8">
        <f>Indicators!A11</f>
        <v/>
      </c>
      <c r="B11" s="12">
        <f>Indicators!C11</f>
        <v/>
      </c>
      <c r="C11" s="13">
        <f>IF(COUNT(Data!D12,Data!G12,Data!J12,Data!M12,Data!P12,Data!S12)&lt;6,"",IF(MAX(Data!D12,Data!G12,Data!J12,Data!M12,Data!P12,Data!S12)=MIN(Data!D12,Data!G12,Data!J12,Data!M12,Data!P12,Data!S12),"",IF(Data!$C12="Lower is better",100*(MAX(Data!D12,Data!G12,Data!J12,Data!M12,Data!P12,Data!S12)-Data!D12)/(MAX(Data!D12,Data!G12,Data!J12,Data!M12,Data!P12,Data!S12)-MIN(Data!D12,Data!G12,Data!J12,Data!M12,Data!P12,Data!S12)),100*(Data!D12-MIN(Data!D12,Data!G12,Data!J12,Data!M12,Data!P12,Data!S12))/(MAX(Data!D12,Data!G12,Data!J12,Data!M12,Data!P12,Data!S12)-MIN(Data!D12,Data!G12,Data!J12,Data!M12,Data!P12,Data!S12)))))</f>
        <v/>
      </c>
      <c r="D11" s="13">
        <f>IF(COUNT(Data!D12,Data!G12,Data!J12,Data!M12,Data!P12,Data!S12)&lt;6,"",IF(MAX(Data!D12,Data!G12,Data!J12,Data!M12,Data!P12,Data!S12)=MIN(Data!D12,Data!G12,Data!J12,Data!M12,Data!P12,Data!S12),"",IF(Data!$C12="Lower is better",100*(MAX(Data!D12,Data!G12,Data!J12,Data!M12,Data!P12,Data!S12)-Data!G12)/(MAX(Data!D12,Data!G12,Data!J12,Data!M12,Data!P12,Data!S12)-MIN(Data!D12,Data!G12,Data!J12,Data!M12,Data!P12,Data!S12)),100*(Data!G12-MIN(Data!D12,Data!G12,Data!J12,Data!M12,Data!P12,Data!S12))/(MAX(Data!D12,Data!G12,Data!J12,Data!M12,Data!P12,Data!S12)-MIN(Data!D12,Data!G12,Data!J12,Data!M12,Data!P12,Data!S12)))))</f>
        <v/>
      </c>
      <c r="E11" s="13">
        <f>IF(COUNT(Data!D12,Data!G12,Data!J12,Data!M12,Data!P12,Data!S12)&lt;6,"",IF(MAX(Data!D12,Data!G12,Data!J12,Data!M12,Data!P12,Data!S12)=MIN(Data!D12,Data!G12,Data!J12,Data!M12,Data!P12,Data!S12),"",IF(Data!$C12="Lower is better",100*(MAX(Data!D12,Data!G12,Data!J12,Data!M12,Data!P12,Data!S12)-Data!J12)/(MAX(Data!D12,Data!G12,Data!J12,Data!M12,Data!P12,Data!S12)-MIN(Data!D12,Data!G12,Data!J12,Data!M12,Data!P12,Data!S12)),100*(Data!J12-MIN(Data!D12,Data!G12,Data!J12,Data!M12,Data!P12,Data!S12))/(MAX(Data!D12,Data!G12,Data!J12,Data!M12,Data!P12,Data!S12)-MIN(Data!D12,Data!G12,Data!J12,Data!M12,Data!P12,Data!S12)))))</f>
        <v/>
      </c>
      <c r="F11" s="13">
        <f>IF(COUNT(Data!D12,Data!G12,Data!J12,Data!M12,Data!P12,Data!S12)&lt;6,"",IF(MAX(Data!D12,Data!G12,Data!J12,Data!M12,Data!P12,Data!S12)=MIN(Data!D12,Data!G12,Data!J12,Data!M12,Data!P12,Data!S12),"",IF(Data!$C12="Lower is better",100*(MAX(Data!D12,Data!G12,Data!J12,Data!M12,Data!P12,Data!S12)-Data!M12)/(MAX(Data!D12,Data!G12,Data!J12,Data!M12,Data!P12,Data!S12)-MIN(Data!D12,Data!G12,Data!J12,Data!M12,Data!P12,Data!S12)),100*(Data!M12-MIN(Data!D12,Data!G12,Data!J12,Data!M12,Data!P12,Data!S12))/(MAX(Data!D12,Data!G12,Data!J12,Data!M12,Data!P12,Data!S12)-MIN(Data!D12,Data!G12,Data!J12,Data!M12,Data!P12,Data!S12)))))</f>
        <v/>
      </c>
      <c r="G11" s="13">
        <f>IF(COUNT(Data!D12,Data!G12,Data!J12,Data!M12,Data!P12,Data!S12)&lt;6,"",IF(MAX(Data!D12,Data!G12,Data!J12,Data!M12,Data!P12,Data!S12)=MIN(Data!D12,Data!G12,Data!J12,Data!M12,Data!P12,Data!S12),"",IF(Data!$C12="Lower is better",100*(MAX(Data!D12,Data!G12,Data!J12,Data!M12,Data!P12,Data!S12)-Data!P12)/(MAX(Data!D12,Data!G12,Data!J12,Data!M12,Data!P12,Data!S12)-MIN(Data!D12,Data!G12,Data!J12,Data!M12,Data!P12,Data!S12)),100*(Data!P12-MIN(Data!D12,Data!G12,Data!J12,Data!M12,Data!P12,Data!S12))/(MAX(Data!D12,Data!G12,Data!J12,Data!M12,Data!P12,Data!S12)-MIN(Data!D12,Data!G12,Data!J12,Data!M12,Data!P12,Data!S12)))))</f>
        <v/>
      </c>
      <c r="H11" s="13">
        <f>IF(COUNT(Data!D12,Data!G12,Data!J12,Data!M12,Data!P12,Data!S12)&lt;6,"",IF(MAX(Data!D12,Data!G12,Data!J12,Data!M12,Data!P12,Data!S12)=MIN(Data!D12,Data!G12,Data!J12,Data!M12,Data!P12,Data!S12),"",IF(Data!$C12="Lower is better",100*(MAX(Data!D12,Data!G12,Data!J12,Data!M12,Data!P12,Data!S12)-Data!S12)/(MAX(Data!D12,Data!G12,Data!J12,Data!M12,Data!P12,Data!S12)-MIN(Data!D12,Data!G12,Data!J12,Data!M12,Data!P12,Data!S12)),100*(Data!S12-MIN(Data!D12,Data!G12,Data!J12,Data!M12,Data!P12,Data!S12))/(MAX(Data!D12,Data!G12,Data!J12,Data!M12,Data!P12,Data!S12)-MIN(Data!D12,Data!G12,Data!J12,Data!M12,Data!P12,Data!S12)))))</f>
        <v/>
      </c>
    </row>
    <row r="12">
      <c r="A12" s="8">
        <f>Indicators!A12</f>
        <v/>
      </c>
      <c r="B12" s="12">
        <f>Indicators!C12</f>
        <v/>
      </c>
      <c r="C12" s="13">
        <f>IF(COUNT(Data!D13,Data!G13,Data!J13,Data!M13,Data!P13,Data!S13)&lt;6,"",IF(MAX(Data!D13,Data!G13,Data!J13,Data!M13,Data!P13,Data!S13)=MIN(Data!D13,Data!G13,Data!J13,Data!M13,Data!P13,Data!S13),"",IF(Data!$C13="Lower is better",100*(MAX(Data!D13,Data!G13,Data!J13,Data!M13,Data!P13,Data!S13)-Data!D13)/(MAX(Data!D13,Data!G13,Data!J13,Data!M13,Data!P13,Data!S13)-MIN(Data!D13,Data!G13,Data!J13,Data!M13,Data!P13,Data!S13)),100*(Data!D13-MIN(Data!D13,Data!G13,Data!J13,Data!M13,Data!P13,Data!S13))/(MAX(Data!D13,Data!G13,Data!J13,Data!M13,Data!P13,Data!S13)-MIN(Data!D13,Data!G13,Data!J13,Data!M13,Data!P13,Data!S13)))))</f>
        <v/>
      </c>
      <c r="D12" s="13">
        <f>IF(COUNT(Data!D13,Data!G13,Data!J13,Data!M13,Data!P13,Data!S13)&lt;6,"",IF(MAX(Data!D13,Data!G13,Data!J13,Data!M13,Data!P13,Data!S13)=MIN(Data!D13,Data!G13,Data!J13,Data!M13,Data!P13,Data!S13),"",IF(Data!$C13="Lower is better",100*(MAX(Data!D13,Data!G13,Data!J13,Data!M13,Data!P13,Data!S13)-Data!G13)/(MAX(Data!D13,Data!G13,Data!J13,Data!M13,Data!P13,Data!S13)-MIN(Data!D13,Data!G13,Data!J13,Data!M13,Data!P13,Data!S13)),100*(Data!G13-MIN(Data!D13,Data!G13,Data!J13,Data!M13,Data!P13,Data!S13))/(MAX(Data!D13,Data!G13,Data!J13,Data!M13,Data!P13,Data!S13)-MIN(Data!D13,Data!G13,Data!J13,Data!M13,Data!P13,Data!S13)))))</f>
        <v/>
      </c>
      <c r="E12" s="13">
        <f>IF(COUNT(Data!D13,Data!G13,Data!J13,Data!M13,Data!P13,Data!S13)&lt;6,"",IF(MAX(Data!D13,Data!G13,Data!J13,Data!M13,Data!P13,Data!S13)=MIN(Data!D13,Data!G13,Data!J13,Data!M13,Data!P13,Data!S13),"",IF(Data!$C13="Lower is better",100*(MAX(Data!D13,Data!G13,Data!J13,Data!M13,Data!P13,Data!S13)-Data!J13)/(MAX(Data!D13,Data!G13,Data!J13,Data!M13,Data!P13,Data!S13)-MIN(Data!D13,Data!G13,Data!J13,Data!M13,Data!P13,Data!S13)),100*(Data!J13-MIN(Data!D13,Data!G13,Data!J13,Data!M13,Data!P13,Data!S13))/(MAX(Data!D13,Data!G13,Data!J13,Data!M13,Data!P13,Data!S13)-MIN(Data!D13,Data!G13,Data!J13,Data!M13,Data!P13,Data!S13)))))</f>
        <v/>
      </c>
      <c r="F12" s="13">
        <f>IF(COUNT(Data!D13,Data!G13,Data!J13,Data!M13,Data!P13,Data!S13)&lt;6,"",IF(MAX(Data!D13,Data!G13,Data!J13,Data!M13,Data!P13,Data!S13)=MIN(Data!D13,Data!G13,Data!J13,Data!M13,Data!P13,Data!S13),"",IF(Data!$C13="Lower is better",100*(MAX(Data!D13,Data!G13,Data!J13,Data!M13,Data!P13,Data!S13)-Data!M13)/(MAX(Data!D13,Data!G13,Data!J13,Data!M13,Data!P13,Data!S13)-MIN(Data!D13,Data!G13,Data!J13,Data!M13,Data!P13,Data!S13)),100*(Data!M13-MIN(Data!D13,Data!G13,Data!J13,Data!M13,Data!P13,Data!S13))/(MAX(Data!D13,Data!G13,Data!J13,Data!M13,Data!P13,Data!S13)-MIN(Data!D13,Data!G13,Data!J13,Data!M13,Data!P13,Data!S13)))))</f>
        <v/>
      </c>
      <c r="G12" s="13">
        <f>IF(COUNT(Data!D13,Data!G13,Data!J13,Data!M13,Data!P13,Data!S13)&lt;6,"",IF(MAX(Data!D13,Data!G13,Data!J13,Data!M13,Data!P13,Data!S13)=MIN(Data!D13,Data!G13,Data!J13,Data!M13,Data!P13,Data!S13),"",IF(Data!$C13="Lower is better",100*(MAX(Data!D13,Data!G13,Data!J13,Data!M13,Data!P13,Data!S13)-Data!P13)/(MAX(Data!D13,Data!G13,Data!J13,Data!M13,Data!P13,Data!S13)-MIN(Data!D13,Data!G13,Data!J13,Data!M13,Data!P13,Data!S13)),100*(Data!P13-MIN(Data!D13,Data!G13,Data!J13,Data!M13,Data!P13,Data!S13))/(MAX(Data!D13,Data!G13,Data!J13,Data!M13,Data!P13,Data!S13)-MIN(Data!D13,Data!G13,Data!J13,Data!M13,Data!P13,Data!S13)))))</f>
        <v/>
      </c>
      <c r="H12" s="13">
        <f>IF(COUNT(Data!D13,Data!G13,Data!J13,Data!M13,Data!P13,Data!S13)&lt;6,"",IF(MAX(Data!D13,Data!G13,Data!J13,Data!M13,Data!P13,Data!S13)=MIN(Data!D13,Data!G13,Data!J13,Data!M13,Data!P13,Data!S13),"",IF(Data!$C13="Lower is better",100*(MAX(Data!D13,Data!G13,Data!J13,Data!M13,Data!P13,Data!S13)-Data!S13)/(MAX(Data!D13,Data!G13,Data!J13,Data!M13,Data!P13,Data!S13)-MIN(Data!D13,Data!G13,Data!J13,Data!M13,Data!P13,Data!S13)),100*(Data!S13-MIN(Data!D13,Data!G13,Data!J13,Data!M13,Data!P13,Data!S13))/(MAX(Data!D13,Data!G13,Data!J13,Data!M13,Data!P13,Data!S13)-MIN(Data!D13,Data!G13,Data!J13,Data!M13,Data!P13,Data!S13)))))</f>
        <v/>
      </c>
    </row>
    <row r="13">
      <c r="A13" s="8">
        <f>Indicators!A13</f>
        <v/>
      </c>
      <c r="B13" s="12">
        <f>Indicators!C13</f>
        <v/>
      </c>
      <c r="C13" s="13">
        <f>IF(COUNT(Data!D14,Data!G14,Data!J14,Data!M14,Data!P14,Data!S14)&lt;6,"",IF(MAX(Data!D14,Data!G14,Data!J14,Data!M14,Data!P14,Data!S14)=MIN(Data!D14,Data!G14,Data!J14,Data!M14,Data!P14,Data!S14),"",IF(Data!$C14="Lower is better",100*(MAX(Data!D14,Data!G14,Data!J14,Data!M14,Data!P14,Data!S14)-Data!D14)/(MAX(Data!D14,Data!G14,Data!J14,Data!M14,Data!P14,Data!S14)-MIN(Data!D14,Data!G14,Data!J14,Data!M14,Data!P14,Data!S14)),100*(Data!D14-MIN(Data!D14,Data!G14,Data!J14,Data!M14,Data!P14,Data!S14))/(MAX(Data!D14,Data!G14,Data!J14,Data!M14,Data!P14,Data!S14)-MIN(Data!D14,Data!G14,Data!J14,Data!M14,Data!P14,Data!S14)))))</f>
        <v/>
      </c>
      <c r="D13" s="13">
        <f>IF(COUNT(Data!D14,Data!G14,Data!J14,Data!M14,Data!P14,Data!S14)&lt;6,"",IF(MAX(Data!D14,Data!G14,Data!J14,Data!M14,Data!P14,Data!S14)=MIN(Data!D14,Data!G14,Data!J14,Data!M14,Data!P14,Data!S14),"",IF(Data!$C14="Lower is better",100*(MAX(Data!D14,Data!G14,Data!J14,Data!M14,Data!P14,Data!S14)-Data!G14)/(MAX(Data!D14,Data!G14,Data!J14,Data!M14,Data!P14,Data!S14)-MIN(Data!D14,Data!G14,Data!J14,Data!M14,Data!P14,Data!S14)),100*(Data!G14-MIN(Data!D14,Data!G14,Data!J14,Data!M14,Data!P14,Data!S14))/(MAX(Data!D14,Data!G14,Data!J14,Data!M14,Data!P14,Data!S14)-MIN(Data!D14,Data!G14,Data!J14,Data!M14,Data!P14,Data!S14)))))</f>
        <v/>
      </c>
      <c r="E13" s="13">
        <f>IF(COUNT(Data!D14,Data!G14,Data!J14,Data!M14,Data!P14,Data!S14)&lt;6,"",IF(MAX(Data!D14,Data!G14,Data!J14,Data!M14,Data!P14,Data!S14)=MIN(Data!D14,Data!G14,Data!J14,Data!M14,Data!P14,Data!S14),"",IF(Data!$C14="Lower is better",100*(MAX(Data!D14,Data!G14,Data!J14,Data!M14,Data!P14,Data!S14)-Data!J14)/(MAX(Data!D14,Data!G14,Data!J14,Data!M14,Data!P14,Data!S14)-MIN(Data!D14,Data!G14,Data!J14,Data!M14,Data!P14,Data!S14)),100*(Data!J14-MIN(Data!D14,Data!G14,Data!J14,Data!M14,Data!P14,Data!S14))/(MAX(Data!D14,Data!G14,Data!J14,Data!M14,Data!P14,Data!S14)-MIN(Data!D14,Data!G14,Data!J14,Data!M14,Data!P14,Data!S14)))))</f>
        <v/>
      </c>
      <c r="F13" s="13">
        <f>IF(COUNT(Data!D14,Data!G14,Data!J14,Data!M14,Data!P14,Data!S14)&lt;6,"",IF(MAX(Data!D14,Data!G14,Data!J14,Data!M14,Data!P14,Data!S14)=MIN(Data!D14,Data!G14,Data!J14,Data!M14,Data!P14,Data!S14),"",IF(Data!$C14="Lower is better",100*(MAX(Data!D14,Data!G14,Data!J14,Data!M14,Data!P14,Data!S14)-Data!M14)/(MAX(Data!D14,Data!G14,Data!J14,Data!M14,Data!P14,Data!S14)-MIN(Data!D14,Data!G14,Data!J14,Data!M14,Data!P14,Data!S14)),100*(Data!M14-MIN(Data!D14,Data!G14,Data!J14,Data!M14,Data!P14,Data!S14))/(MAX(Data!D14,Data!G14,Data!J14,Data!M14,Data!P14,Data!S14)-MIN(Data!D14,Data!G14,Data!J14,Data!M14,Data!P14,Data!S14)))))</f>
        <v/>
      </c>
      <c r="G13" s="13">
        <f>IF(COUNT(Data!D14,Data!G14,Data!J14,Data!M14,Data!P14,Data!S14)&lt;6,"",IF(MAX(Data!D14,Data!G14,Data!J14,Data!M14,Data!P14,Data!S14)=MIN(Data!D14,Data!G14,Data!J14,Data!M14,Data!P14,Data!S14),"",IF(Data!$C14="Lower is better",100*(MAX(Data!D14,Data!G14,Data!J14,Data!M14,Data!P14,Data!S14)-Data!P14)/(MAX(Data!D14,Data!G14,Data!J14,Data!M14,Data!P14,Data!S14)-MIN(Data!D14,Data!G14,Data!J14,Data!M14,Data!P14,Data!S14)),100*(Data!P14-MIN(Data!D14,Data!G14,Data!J14,Data!M14,Data!P14,Data!S14))/(MAX(Data!D14,Data!G14,Data!J14,Data!M14,Data!P14,Data!S14)-MIN(Data!D14,Data!G14,Data!J14,Data!M14,Data!P14,Data!S14)))))</f>
        <v/>
      </c>
      <c r="H13" s="13">
        <f>IF(COUNT(Data!D14,Data!G14,Data!J14,Data!M14,Data!P14,Data!S14)&lt;6,"",IF(MAX(Data!D14,Data!G14,Data!J14,Data!M14,Data!P14,Data!S14)=MIN(Data!D14,Data!G14,Data!J14,Data!M14,Data!P14,Data!S14),"",IF(Data!$C14="Lower is better",100*(MAX(Data!D14,Data!G14,Data!J14,Data!M14,Data!P14,Data!S14)-Data!S14)/(MAX(Data!D14,Data!G14,Data!J14,Data!M14,Data!P14,Data!S14)-MIN(Data!D14,Data!G14,Data!J14,Data!M14,Data!P14,Data!S14)),100*(Data!S14-MIN(Data!D14,Data!G14,Data!J14,Data!M14,Data!P14,Data!S14))/(MAX(Data!D14,Data!G14,Data!J14,Data!M14,Data!P14,Data!S14)-MIN(Data!D14,Data!G14,Data!J14,Data!M14,Data!P14,Data!S14)))))</f>
        <v/>
      </c>
    </row>
    <row r="14">
      <c r="A14" s="8">
        <f>Indicators!A14</f>
        <v/>
      </c>
      <c r="B14" s="12">
        <f>Indicators!C14</f>
        <v/>
      </c>
      <c r="C14" s="13">
        <f>IF(COUNT(Data!D15,Data!G15,Data!J15,Data!M15,Data!P15,Data!S15)&lt;6,"",IF(MAX(Data!D15,Data!G15,Data!J15,Data!M15,Data!P15,Data!S15)=MIN(Data!D15,Data!G15,Data!J15,Data!M15,Data!P15,Data!S15),"",IF(Data!$C15="Lower is better",100*(MAX(Data!D15,Data!G15,Data!J15,Data!M15,Data!P15,Data!S15)-Data!D15)/(MAX(Data!D15,Data!G15,Data!J15,Data!M15,Data!P15,Data!S15)-MIN(Data!D15,Data!G15,Data!J15,Data!M15,Data!P15,Data!S15)),100*(Data!D15-MIN(Data!D15,Data!G15,Data!J15,Data!M15,Data!P15,Data!S15))/(MAX(Data!D15,Data!G15,Data!J15,Data!M15,Data!P15,Data!S15)-MIN(Data!D15,Data!G15,Data!J15,Data!M15,Data!P15,Data!S15)))))</f>
        <v/>
      </c>
      <c r="D14" s="13">
        <f>IF(COUNT(Data!D15,Data!G15,Data!J15,Data!M15,Data!P15,Data!S15)&lt;6,"",IF(MAX(Data!D15,Data!G15,Data!J15,Data!M15,Data!P15,Data!S15)=MIN(Data!D15,Data!G15,Data!J15,Data!M15,Data!P15,Data!S15),"",IF(Data!$C15="Lower is better",100*(MAX(Data!D15,Data!G15,Data!J15,Data!M15,Data!P15,Data!S15)-Data!G15)/(MAX(Data!D15,Data!G15,Data!J15,Data!M15,Data!P15,Data!S15)-MIN(Data!D15,Data!G15,Data!J15,Data!M15,Data!P15,Data!S15)),100*(Data!G15-MIN(Data!D15,Data!G15,Data!J15,Data!M15,Data!P15,Data!S15))/(MAX(Data!D15,Data!G15,Data!J15,Data!M15,Data!P15,Data!S15)-MIN(Data!D15,Data!G15,Data!J15,Data!M15,Data!P15,Data!S15)))))</f>
        <v/>
      </c>
      <c r="E14" s="13">
        <f>IF(COUNT(Data!D15,Data!G15,Data!J15,Data!M15,Data!P15,Data!S15)&lt;6,"",IF(MAX(Data!D15,Data!G15,Data!J15,Data!M15,Data!P15,Data!S15)=MIN(Data!D15,Data!G15,Data!J15,Data!M15,Data!P15,Data!S15),"",IF(Data!$C15="Lower is better",100*(MAX(Data!D15,Data!G15,Data!J15,Data!M15,Data!P15,Data!S15)-Data!J15)/(MAX(Data!D15,Data!G15,Data!J15,Data!M15,Data!P15,Data!S15)-MIN(Data!D15,Data!G15,Data!J15,Data!M15,Data!P15,Data!S15)),100*(Data!J15-MIN(Data!D15,Data!G15,Data!J15,Data!M15,Data!P15,Data!S15))/(MAX(Data!D15,Data!G15,Data!J15,Data!M15,Data!P15,Data!S15)-MIN(Data!D15,Data!G15,Data!J15,Data!M15,Data!P15,Data!S15)))))</f>
        <v/>
      </c>
      <c r="F14" s="13">
        <f>IF(COUNT(Data!D15,Data!G15,Data!J15,Data!M15,Data!P15,Data!S15)&lt;6,"",IF(MAX(Data!D15,Data!G15,Data!J15,Data!M15,Data!P15,Data!S15)=MIN(Data!D15,Data!G15,Data!J15,Data!M15,Data!P15,Data!S15),"",IF(Data!$C15="Lower is better",100*(MAX(Data!D15,Data!G15,Data!J15,Data!M15,Data!P15,Data!S15)-Data!M15)/(MAX(Data!D15,Data!G15,Data!J15,Data!M15,Data!P15,Data!S15)-MIN(Data!D15,Data!G15,Data!J15,Data!M15,Data!P15,Data!S15)),100*(Data!M15-MIN(Data!D15,Data!G15,Data!J15,Data!M15,Data!P15,Data!S15))/(MAX(Data!D15,Data!G15,Data!J15,Data!M15,Data!P15,Data!S15)-MIN(Data!D15,Data!G15,Data!J15,Data!M15,Data!P15,Data!S15)))))</f>
        <v/>
      </c>
      <c r="G14" s="13">
        <f>IF(COUNT(Data!D15,Data!G15,Data!J15,Data!M15,Data!P15,Data!S15)&lt;6,"",IF(MAX(Data!D15,Data!G15,Data!J15,Data!M15,Data!P15,Data!S15)=MIN(Data!D15,Data!G15,Data!J15,Data!M15,Data!P15,Data!S15),"",IF(Data!$C15="Lower is better",100*(MAX(Data!D15,Data!G15,Data!J15,Data!M15,Data!P15,Data!S15)-Data!P15)/(MAX(Data!D15,Data!G15,Data!J15,Data!M15,Data!P15,Data!S15)-MIN(Data!D15,Data!G15,Data!J15,Data!M15,Data!P15,Data!S15)),100*(Data!P15-MIN(Data!D15,Data!G15,Data!J15,Data!M15,Data!P15,Data!S15))/(MAX(Data!D15,Data!G15,Data!J15,Data!M15,Data!P15,Data!S15)-MIN(Data!D15,Data!G15,Data!J15,Data!M15,Data!P15,Data!S15)))))</f>
        <v/>
      </c>
      <c r="H14" s="13">
        <f>IF(COUNT(Data!D15,Data!G15,Data!J15,Data!M15,Data!P15,Data!S15)&lt;6,"",IF(MAX(Data!D15,Data!G15,Data!J15,Data!M15,Data!P15,Data!S15)=MIN(Data!D15,Data!G15,Data!J15,Data!M15,Data!P15,Data!S15),"",IF(Data!$C15="Lower is better",100*(MAX(Data!D15,Data!G15,Data!J15,Data!M15,Data!P15,Data!S15)-Data!S15)/(MAX(Data!D15,Data!G15,Data!J15,Data!M15,Data!P15,Data!S15)-MIN(Data!D15,Data!G15,Data!J15,Data!M15,Data!P15,Data!S15)),100*(Data!S15-MIN(Data!D15,Data!G15,Data!J15,Data!M15,Data!P15,Data!S15))/(MAX(Data!D15,Data!G15,Data!J15,Data!M15,Data!P15,Data!S15)-MIN(Data!D15,Data!G15,Data!J15,Data!M15,Data!P15,Data!S15)))))</f>
        <v/>
      </c>
    </row>
    <row r="15">
      <c r="A15" s="8">
        <f>Indicators!A15</f>
        <v/>
      </c>
      <c r="B15" s="12">
        <f>Indicators!C15</f>
        <v/>
      </c>
      <c r="C15" s="13">
        <f>IF(COUNT(Data!D16,Data!G16,Data!J16,Data!M16,Data!P16,Data!S16)&lt;6,"",IF(MAX(Data!D16,Data!G16,Data!J16,Data!M16,Data!P16,Data!S16)=MIN(Data!D16,Data!G16,Data!J16,Data!M16,Data!P16,Data!S16),"",IF(Data!$C16="Lower is better",100*(MAX(Data!D16,Data!G16,Data!J16,Data!M16,Data!P16,Data!S16)-Data!D16)/(MAX(Data!D16,Data!G16,Data!J16,Data!M16,Data!P16,Data!S16)-MIN(Data!D16,Data!G16,Data!J16,Data!M16,Data!P16,Data!S16)),100*(Data!D16-MIN(Data!D16,Data!G16,Data!J16,Data!M16,Data!P16,Data!S16))/(MAX(Data!D16,Data!G16,Data!J16,Data!M16,Data!P16,Data!S16)-MIN(Data!D16,Data!G16,Data!J16,Data!M16,Data!P16,Data!S16)))))</f>
        <v/>
      </c>
      <c r="D15" s="13">
        <f>IF(COUNT(Data!D16,Data!G16,Data!J16,Data!M16,Data!P16,Data!S16)&lt;6,"",IF(MAX(Data!D16,Data!G16,Data!J16,Data!M16,Data!P16,Data!S16)=MIN(Data!D16,Data!G16,Data!J16,Data!M16,Data!P16,Data!S16),"",IF(Data!$C16="Lower is better",100*(MAX(Data!D16,Data!G16,Data!J16,Data!M16,Data!P16,Data!S16)-Data!G16)/(MAX(Data!D16,Data!G16,Data!J16,Data!M16,Data!P16,Data!S16)-MIN(Data!D16,Data!G16,Data!J16,Data!M16,Data!P16,Data!S16)),100*(Data!G16-MIN(Data!D16,Data!G16,Data!J16,Data!M16,Data!P16,Data!S16))/(MAX(Data!D16,Data!G16,Data!J16,Data!M16,Data!P16,Data!S16)-MIN(Data!D16,Data!G16,Data!J16,Data!M16,Data!P16,Data!S16)))))</f>
        <v/>
      </c>
      <c r="E15" s="13">
        <f>IF(COUNT(Data!D16,Data!G16,Data!J16,Data!M16,Data!P16,Data!S16)&lt;6,"",IF(MAX(Data!D16,Data!G16,Data!J16,Data!M16,Data!P16,Data!S16)=MIN(Data!D16,Data!G16,Data!J16,Data!M16,Data!P16,Data!S16),"",IF(Data!$C16="Lower is better",100*(MAX(Data!D16,Data!G16,Data!J16,Data!M16,Data!P16,Data!S16)-Data!J16)/(MAX(Data!D16,Data!G16,Data!J16,Data!M16,Data!P16,Data!S16)-MIN(Data!D16,Data!G16,Data!J16,Data!M16,Data!P16,Data!S16)),100*(Data!J16-MIN(Data!D16,Data!G16,Data!J16,Data!M16,Data!P16,Data!S16))/(MAX(Data!D16,Data!G16,Data!J16,Data!M16,Data!P16,Data!S16)-MIN(Data!D16,Data!G16,Data!J16,Data!M16,Data!P16,Data!S16)))))</f>
        <v/>
      </c>
      <c r="F15" s="13">
        <f>IF(COUNT(Data!D16,Data!G16,Data!J16,Data!M16,Data!P16,Data!S16)&lt;6,"",IF(MAX(Data!D16,Data!G16,Data!J16,Data!M16,Data!P16,Data!S16)=MIN(Data!D16,Data!G16,Data!J16,Data!M16,Data!P16,Data!S16),"",IF(Data!$C16="Lower is better",100*(MAX(Data!D16,Data!G16,Data!J16,Data!M16,Data!P16,Data!S16)-Data!M16)/(MAX(Data!D16,Data!G16,Data!J16,Data!M16,Data!P16,Data!S16)-MIN(Data!D16,Data!G16,Data!J16,Data!M16,Data!P16,Data!S16)),100*(Data!M16-MIN(Data!D16,Data!G16,Data!J16,Data!M16,Data!P16,Data!S16))/(MAX(Data!D16,Data!G16,Data!J16,Data!M16,Data!P16,Data!S16)-MIN(Data!D16,Data!G16,Data!J16,Data!M16,Data!P16,Data!S16)))))</f>
        <v/>
      </c>
      <c r="G15" s="13">
        <f>IF(COUNT(Data!D16,Data!G16,Data!J16,Data!M16,Data!P16,Data!S16)&lt;6,"",IF(MAX(Data!D16,Data!G16,Data!J16,Data!M16,Data!P16,Data!S16)=MIN(Data!D16,Data!G16,Data!J16,Data!M16,Data!P16,Data!S16),"",IF(Data!$C16="Lower is better",100*(MAX(Data!D16,Data!G16,Data!J16,Data!M16,Data!P16,Data!S16)-Data!P16)/(MAX(Data!D16,Data!G16,Data!J16,Data!M16,Data!P16,Data!S16)-MIN(Data!D16,Data!G16,Data!J16,Data!M16,Data!P16,Data!S16)),100*(Data!P16-MIN(Data!D16,Data!G16,Data!J16,Data!M16,Data!P16,Data!S16))/(MAX(Data!D16,Data!G16,Data!J16,Data!M16,Data!P16,Data!S16)-MIN(Data!D16,Data!G16,Data!J16,Data!M16,Data!P16,Data!S16)))))</f>
        <v/>
      </c>
      <c r="H15" s="13">
        <f>IF(COUNT(Data!D16,Data!G16,Data!J16,Data!M16,Data!P16,Data!S16)&lt;6,"",IF(MAX(Data!D16,Data!G16,Data!J16,Data!M16,Data!P16,Data!S16)=MIN(Data!D16,Data!G16,Data!J16,Data!M16,Data!P16,Data!S16),"",IF(Data!$C16="Lower is better",100*(MAX(Data!D16,Data!G16,Data!J16,Data!M16,Data!P16,Data!S16)-Data!S16)/(MAX(Data!D16,Data!G16,Data!J16,Data!M16,Data!P16,Data!S16)-MIN(Data!D16,Data!G16,Data!J16,Data!M16,Data!P16,Data!S16)),100*(Data!S16-MIN(Data!D16,Data!G16,Data!J16,Data!M16,Data!P16,Data!S16))/(MAX(Data!D16,Data!G16,Data!J16,Data!M16,Data!P16,Data!S16)-MIN(Data!D16,Data!G16,Data!J16,Data!M16,Data!P16,Data!S16)))))</f>
        <v/>
      </c>
    </row>
    <row r="16">
      <c r="A16" s="8">
        <f>Indicators!A16</f>
        <v/>
      </c>
      <c r="B16" s="12">
        <f>Indicators!C16</f>
        <v/>
      </c>
      <c r="C16" s="13">
        <f>IF(COUNT(Data!D17,Data!G17,Data!J17,Data!M17,Data!P17,Data!S17)&lt;6,"",IF(MAX(Data!D17,Data!G17,Data!J17,Data!M17,Data!P17,Data!S17)=MIN(Data!D17,Data!G17,Data!J17,Data!M17,Data!P17,Data!S17),"",IF(Data!$C17="Lower is better",100*(MAX(Data!D17,Data!G17,Data!J17,Data!M17,Data!P17,Data!S17)-Data!D17)/(MAX(Data!D17,Data!G17,Data!J17,Data!M17,Data!P17,Data!S17)-MIN(Data!D17,Data!G17,Data!J17,Data!M17,Data!P17,Data!S17)),100*(Data!D17-MIN(Data!D17,Data!G17,Data!J17,Data!M17,Data!P17,Data!S17))/(MAX(Data!D17,Data!G17,Data!J17,Data!M17,Data!P17,Data!S17)-MIN(Data!D17,Data!G17,Data!J17,Data!M17,Data!P17,Data!S17)))))</f>
        <v/>
      </c>
      <c r="D16" s="13">
        <f>IF(COUNT(Data!D17,Data!G17,Data!J17,Data!M17,Data!P17,Data!S17)&lt;6,"",IF(MAX(Data!D17,Data!G17,Data!J17,Data!M17,Data!P17,Data!S17)=MIN(Data!D17,Data!G17,Data!J17,Data!M17,Data!P17,Data!S17),"",IF(Data!$C17="Lower is better",100*(MAX(Data!D17,Data!G17,Data!J17,Data!M17,Data!P17,Data!S17)-Data!G17)/(MAX(Data!D17,Data!G17,Data!J17,Data!M17,Data!P17,Data!S17)-MIN(Data!D17,Data!G17,Data!J17,Data!M17,Data!P17,Data!S17)),100*(Data!G17-MIN(Data!D17,Data!G17,Data!J17,Data!M17,Data!P17,Data!S17))/(MAX(Data!D17,Data!G17,Data!J17,Data!M17,Data!P17,Data!S17)-MIN(Data!D17,Data!G17,Data!J17,Data!M17,Data!P17,Data!S17)))))</f>
        <v/>
      </c>
      <c r="E16" s="13">
        <f>IF(COUNT(Data!D17,Data!G17,Data!J17,Data!M17,Data!P17,Data!S17)&lt;6,"",IF(MAX(Data!D17,Data!G17,Data!J17,Data!M17,Data!P17,Data!S17)=MIN(Data!D17,Data!G17,Data!J17,Data!M17,Data!P17,Data!S17),"",IF(Data!$C17="Lower is better",100*(MAX(Data!D17,Data!G17,Data!J17,Data!M17,Data!P17,Data!S17)-Data!J17)/(MAX(Data!D17,Data!G17,Data!J17,Data!M17,Data!P17,Data!S17)-MIN(Data!D17,Data!G17,Data!J17,Data!M17,Data!P17,Data!S17)),100*(Data!J17-MIN(Data!D17,Data!G17,Data!J17,Data!M17,Data!P17,Data!S17))/(MAX(Data!D17,Data!G17,Data!J17,Data!M17,Data!P17,Data!S17)-MIN(Data!D17,Data!G17,Data!J17,Data!M17,Data!P17,Data!S17)))))</f>
        <v/>
      </c>
      <c r="F16" s="13">
        <f>IF(COUNT(Data!D17,Data!G17,Data!J17,Data!M17,Data!P17,Data!S17)&lt;6,"",IF(MAX(Data!D17,Data!G17,Data!J17,Data!M17,Data!P17,Data!S17)=MIN(Data!D17,Data!G17,Data!J17,Data!M17,Data!P17,Data!S17),"",IF(Data!$C17="Lower is better",100*(MAX(Data!D17,Data!G17,Data!J17,Data!M17,Data!P17,Data!S17)-Data!M17)/(MAX(Data!D17,Data!G17,Data!J17,Data!M17,Data!P17,Data!S17)-MIN(Data!D17,Data!G17,Data!J17,Data!M17,Data!P17,Data!S17)),100*(Data!M17-MIN(Data!D17,Data!G17,Data!J17,Data!M17,Data!P17,Data!S17))/(MAX(Data!D17,Data!G17,Data!J17,Data!M17,Data!P17,Data!S17)-MIN(Data!D17,Data!G17,Data!J17,Data!M17,Data!P17,Data!S17)))))</f>
        <v/>
      </c>
      <c r="G16" s="13">
        <f>IF(COUNT(Data!D17,Data!G17,Data!J17,Data!M17,Data!P17,Data!S17)&lt;6,"",IF(MAX(Data!D17,Data!G17,Data!J17,Data!M17,Data!P17,Data!S17)=MIN(Data!D17,Data!G17,Data!J17,Data!M17,Data!P17,Data!S17),"",IF(Data!$C17="Lower is better",100*(MAX(Data!D17,Data!G17,Data!J17,Data!M17,Data!P17,Data!S17)-Data!P17)/(MAX(Data!D17,Data!G17,Data!J17,Data!M17,Data!P17,Data!S17)-MIN(Data!D17,Data!G17,Data!J17,Data!M17,Data!P17,Data!S17)),100*(Data!P17-MIN(Data!D17,Data!G17,Data!J17,Data!M17,Data!P17,Data!S17))/(MAX(Data!D17,Data!G17,Data!J17,Data!M17,Data!P17,Data!S17)-MIN(Data!D17,Data!G17,Data!J17,Data!M17,Data!P17,Data!S17)))))</f>
        <v/>
      </c>
      <c r="H16" s="13">
        <f>IF(COUNT(Data!D17,Data!G17,Data!J17,Data!M17,Data!P17,Data!S17)&lt;6,"",IF(MAX(Data!D17,Data!G17,Data!J17,Data!M17,Data!P17,Data!S17)=MIN(Data!D17,Data!G17,Data!J17,Data!M17,Data!P17,Data!S17),"",IF(Data!$C17="Lower is better",100*(MAX(Data!D17,Data!G17,Data!J17,Data!M17,Data!P17,Data!S17)-Data!S17)/(MAX(Data!D17,Data!G17,Data!J17,Data!M17,Data!P17,Data!S17)-MIN(Data!D17,Data!G17,Data!J17,Data!M17,Data!P17,Data!S17)),100*(Data!S17-MIN(Data!D17,Data!G17,Data!J17,Data!M17,Data!P17,Data!S17))/(MAX(Data!D17,Data!G17,Data!J17,Data!M17,Data!P17,Data!S17)-MIN(Data!D17,Data!G17,Data!J17,Data!M17,Data!P17,Data!S17)))))</f>
        <v/>
      </c>
    </row>
    <row r="17">
      <c r="A17" s="8">
        <f>Indicators!A17</f>
        <v/>
      </c>
      <c r="B17" s="12">
        <f>Indicators!C17</f>
        <v/>
      </c>
      <c r="C17" s="13">
        <f>IF(COUNT(Data!D18,Data!G18,Data!J18,Data!M18,Data!P18,Data!S18)&lt;6,"",IF(MAX(Data!D18,Data!G18,Data!J18,Data!M18,Data!P18,Data!S18)=MIN(Data!D18,Data!G18,Data!J18,Data!M18,Data!P18,Data!S18),"",IF(Data!$C18="Lower is better",100*(MAX(Data!D18,Data!G18,Data!J18,Data!M18,Data!P18,Data!S18)-Data!D18)/(MAX(Data!D18,Data!G18,Data!J18,Data!M18,Data!P18,Data!S18)-MIN(Data!D18,Data!G18,Data!J18,Data!M18,Data!P18,Data!S18)),100*(Data!D18-MIN(Data!D18,Data!G18,Data!J18,Data!M18,Data!P18,Data!S18))/(MAX(Data!D18,Data!G18,Data!J18,Data!M18,Data!P18,Data!S18)-MIN(Data!D18,Data!G18,Data!J18,Data!M18,Data!P18,Data!S18)))))</f>
        <v/>
      </c>
      <c r="D17" s="13">
        <f>IF(COUNT(Data!D18,Data!G18,Data!J18,Data!M18,Data!P18,Data!S18)&lt;6,"",IF(MAX(Data!D18,Data!G18,Data!J18,Data!M18,Data!P18,Data!S18)=MIN(Data!D18,Data!G18,Data!J18,Data!M18,Data!P18,Data!S18),"",IF(Data!$C18="Lower is better",100*(MAX(Data!D18,Data!G18,Data!J18,Data!M18,Data!P18,Data!S18)-Data!G18)/(MAX(Data!D18,Data!G18,Data!J18,Data!M18,Data!P18,Data!S18)-MIN(Data!D18,Data!G18,Data!J18,Data!M18,Data!P18,Data!S18)),100*(Data!G18-MIN(Data!D18,Data!G18,Data!J18,Data!M18,Data!P18,Data!S18))/(MAX(Data!D18,Data!G18,Data!J18,Data!M18,Data!P18,Data!S18)-MIN(Data!D18,Data!G18,Data!J18,Data!M18,Data!P18,Data!S18)))))</f>
        <v/>
      </c>
      <c r="E17" s="13">
        <f>IF(COUNT(Data!D18,Data!G18,Data!J18,Data!M18,Data!P18,Data!S18)&lt;6,"",IF(MAX(Data!D18,Data!G18,Data!J18,Data!M18,Data!P18,Data!S18)=MIN(Data!D18,Data!G18,Data!J18,Data!M18,Data!P18,Data!S18),"",IF(Data!$C18="Lower is better",100*(MAX(Data!D18,Data!G18,Data!J18,Data!M18,Data!P18,Data!S18)-Data!J18)/(MAX(Data!D18,Data!G18,Data!J18,Data!M18,Data!P18,Data!S18)-MIN(Data!D18,Data!G18,Data!J18,Data!M18,Data!P18,Data!S18)),100*(Data!J18-MIN(Data!D18,Data!G18,Data!J18,Data!M18,Data!P18,Data!S18))/(MAX(Data!D18,Data!G18,Data!J18,Data!M18,Data!P18,Data!S18)-MIN(Data!D18,Data!G18,Data!J18,Data!M18,Data!P18,Data!S18)))))</f>
        <v/>
      </c>
      <c r="F17" s="13">
        <f>IF(COUNT(Data!D18,Data!G18,Data!J18,Data!M18,Data!P18,Data!S18)&lt;6,"",IF(MAX(Data!D18,Data!G18,Data!J18,Data!M18,Data!P18,Data!S18)=MIN(Data!D18,Data!G18,Data!J18,Data!M18,Data!P18,Data!S18),"",IF(Data!$C18="Lower is better",100*(MAX(Data!D18,Data!G18,Data!J18,Data!M18,Data!P18,Data!S18)-Data!M18)/(MAX(Data!D18,Data!G18,Data!J18,Data!M18,Data!P18,Data!S18)-MIN(Data!D18,Data!G18,Data!J18,Data!M18,Data!P18,Data!S18)),100*(Data!M18-MIN(Data!D18,Data!G18,Data!J18,Data!M18,Data!P18,Data!S18))/(MAX(Data!D18,Data!G18,Data!J18,Data!M18,Data!P18,Data!S18)-MIN(Data!D18,Data!G18,Data!J18,Data!M18,Data!P18,Data!S18)))))</f>
        <v/>
      </c>
      <c r="G17" s="13">
        <f>IF(COUNT(Data!D18,Data!G18,Data!J18,Data!M18,Data!P18,Data!S18)&lt;6,"",IF(MAX(Data!D18,Data!G18,Data!J18,Data!M18,Data!P18,Data!S18)=MIN(Data!D18,Data!G18,Data!J18,Data!M18,Data!P18,Data!S18),"",IF(Data!$C18="Lower is better",100*(MAX(Data!D18,Data!G18,Data!J18,Data!M18,Data!P18,Data!S18)-Data!P18)/(MAX(Data!D18,Data!G18,Data!J18,Data!M18,Data!P18,Data!S18)-MIN(Data!D18,Data!G18,Data!J18,Data!M18,Data!P18,Data!S18)),100*(Data!P18-MIN(Data!D18,Data!G18,Data!J18,Data!M18,Data!P18,Data!S18))/(MAX(Data!D18,Data!G18,Data!J18,Data!M18,Data!P18,Data!S18)-MIN(Data!D18,Data!G18,Data!J18,Data!M18,Data!P18,Data!S18)))))</f>
        <v/>
      </c>
      <c r="H17" s="13">
        <f>IF(COUNT(Data!D18,Data!G18,Data!J18,Data!M18,Data!P18,Data!S18)&lt;6,"",IF(MAX(Data!D18,Data!G18,Data!J18,Data!M18,Data!P18,Data!S18)=MIN(Data!D18,Data!G18,Data!J18,Data!M18,Data!P18,Data!S18),"",IF(Data!$C18="Lower is better",100*(MAX(Data!D18,Data!G18,Data!J18,Data!M18,Data!P18,Data!S18)-Data!S18)/(MAX(Data!D18,Data!G18,Data!J18,Data!M18,Data!P18,Data!S18)-MIN(Data!D18,Data!G18,Data!J18,Data!M18,Data!P18,Data!S18)),100*(Data!S18-MIN(Data!D18,Data!G18,Data!J18,Data!M18,Data!P18,Data!S18))/(MAX(Data!D18,Data!G18,Data!J18,Data!M18,Data!P18,Data!S18)-MIN(Data!D18,Data!G18,Data!J18,Data!M18,Data!P18,Data!S18)))))</f>
        <v/>
      </c>
    </row>
    <row r="18">
      <c r="A18" s="8">
        <f>Indicators!A18</f>
        <v/>
      </c>
      <c r="B18" s="12">
        <f>Indicators!C18</f>
        <v/>
      </c>
      <c r="C18" s="13">
        <f>IF(COUNT(Data!D19,Data!G19,Data!J19,Data!M19,Data!P19,Data!S19)&lt;6,"",IF(MAX(Data!D19,Data!G19,Data!J19,Data!M19,Data!P19,Data!S19)=MIN(Data!D19,Data!G19,Data!J19,Data!M19,Data!P19,Data!S19),"",IF(Data!$C19="Lower is better",100*(MAX(Data!D19,Data!G19,Data!J19,Data!M19,Data!P19,Data!S19)-Data!D19)/(MAX(Data!D19,Data!G19,Data!J19,Data!M19,Data!P19,Data!S19)-MIN(Data!D19,Data!G19,Data!J19,Data!M19,Data!P19,Data!S19)),100*(Data!D19-MIN(Data!D19,Data!G19,Data!J19,Data!M19,Data!P19,Data!S19))/(MAX(Data!D19,Data!G19,Data!J19,Data!M19,Data!P19,Data!S19)-MIN(Data!D19,Data!G19,Data!J19,Data!M19,Data!P19,Data!S19)))))</f>
        <v/>
      </c>
      <c r="D18" s="13">
        <f>IF(COUNT(Data!D19,Data!G19,Data!J19,Data!M19,Data!P19,Data!S19)&lt;6,"",IF(MAX(Data!D19,Data!G19,Data!J19,Data!M19,Data!P19,Data!S19)=MIN(Data!D19,Data!G19,Data!J19,Data!M19,Data!P19,Data!S19),"",IF(Data!$C19="Lower is better",100*(MAX(Data!D19,Data!G19,Data!J19,Data!M19,Data!P19,Data!S19)-Data!G19)/(MAX(Data!D19,Data!G19,Data!J19,Data!M19,Data!P19,Data!S19)-MIN(Data!D19,Data!G19,Data!J19,Data!M19,Data!P19,Data!S19)),100*(Data!G19-MIN(Data!D19,Data!G19,Data!J19,Data!M19,Data!P19,Data!S19))/(MAX(Data!D19,Data!G19,Data!J19,Data!M19,Data!P19,Data!S19)-MIN(Data!D19,Data!G19,Data!J19,Data!M19,Data!P19,Data!S19)))))</f>
        <v/>
      </c>
      <c r="E18" s="13">
        <f>IF(COUNT(Data!D19,Data!G19,Data!J19,Data!M19,Data!P19,Data!S19)&lt;6,"",IF(MAX(Data!D19,Data!G19,Data!J19,Data!M19,Data!P19,Data!S19)=MIN(Data!D19,Data!G19,Data!J19,Data!M19,Data!P19,Data!S19),"",IF(Data!$C19="Lower is better",100*(MAX(Data!D19,Data!G19,Data!J19,Data!M19,Data!P19,Data!S19)-Data!J19)/(MAX(Data!D19,Data!G19,Data!J19,Data!M19,Data!P19,Data!S19)-MIN(Data!D19,Data!G19,Data!J19,Data!M19,Data!P19,Data!S19)),100*(Data!J19-MIN(Data!D19,Data!G19,Data!J19,Data!M19,Data!P19,Data!S19))/(MAX(Data!D19,Data!G19,Data!J19,Data!M19,Data!P19,Data!S19)-MIN(Data!D19,Data!G19,Data!J19,Data!M19,Data!P19,Data!S19)))))</f>
        <v/>
      </c>
      <c r="F18" s="13">
        <f>IF(COUNT(Data!D19,Data!G19,Data!J19,Data!M19,Data!P19,Data!S19)&lt;6,"",IF(MAX(Data!D19,Data!G19,Data!J19,Data!M19,Data!P19,Data!S19)=MIN(Data!D19,Data!G19,Data!J19,Data!M19,Data!P19,Data!S19),"",IF(Data!$C19="Lower is better",100*(MAX(Data!D19,Data!G19,Data!J19,Data!M19,Data!P19,Data!S19)-Data!M19)/(MAX(Data!D19,Data!G19,Data!J19,Data!M19,Data!P19,Data!S19)-MIN(Data!D19,Data!G19,Data!J19,Data!M19,Data!P19,Data!S19)),100*(Data!M19-MIN(Data!D19,Data!G19,Data!J19,Data!M19,Data!P19,Data!S19))/(MAX(Data!D19,Data!G19,Data!J19,Data!M19,Data!P19,Data!S19)-MIN(Data!D19,Data!G19,Data!J19,Data!M19,Data!P19,Data!S19)))))</f>
        <v/>
      </c>
      <c r="G18" s="13">
        <f>IF(COUNT(Data!D19,Data!G19,Data!J19,Data!M19,Data!P19,Data!S19)&lt;6,"",IF(MAX(Data!D19,Data!G19,Data!J19,Data!M19,Data!P19,Data!S19)=MIN(Data!D19,Data!G19,Data!J19,Data!M19,Data!P19,Data!S19),"",IF(Data!$C19="Lower is better",100*(MAX(Data!D19,Data!G19,Data!J19,Data!M19,Data!P19,Data!S19)-Data!P19)/(MAX(Data!D19,Data!G19,Data!J19,Data!M19,Data!P19,Data!S19)-MIN(Data!D19,Data!G19,Data!J19,Data!M19,Data!P19,Data!S19)),100*(Data!P19-MIN(Data!D19,Data!G19,Data!J19,Data!M19,Data!P19,Data!S19))/(MAX(Data!D19,Data!G19,Data!J19,Data!M19,Data!P19,Data!S19)-MIN(Data!D19,Data!G19,Data!J19,Data!M19,Data!P19,Data!S19)))))</f>
        <v/>
      </c>
      <c r="H18" s="13">
        <f>IF(COUNT(Data!D19,Data!G19,Data!J19,Data!M19,Data!P19,Data!S19)&lt;6,"",IF(MAX(Data!D19,Data!G19,Data!J19,Data!M19,Data!P19,Data!S19)=MIN(Data!D19,Data!G19,Data!J19,Data!M19,Data!P19,Data!S19),"",IF(Data!$C19="Lower is better",100*(MAX(Data!D19,Data!G19,Data!J19,Data!M19,Data!P19,Data!S19)-Data!S19)/(MAX(Data!D19,Data!G19,Data!J19,Data!M19,Data!P19,Data!S19)-MIN(Data!D19,Data!G19,Data!J19,Data!M19,Data!P19,Data!S19)),100*(Data!S19-MIN(Data!D19,Data!G19,Data!J19,Data!M19,Data!P19,Data!S19))/(MAX(Data!D19,Data!G19,Data!J19,Data!M19,Data!P19,Data!S19)-MIN(Data!D19,Data!G19,Data!J19,Data!M19,Data!P19,Data!S19)))))</f>
        <v/>
      </c>
    </row>
    <row r="19">
      <c r="A19" s="8">
        <f>Indicators!A19</f>
        <v/>
      </c>
      <c r="B19" s="12">
        <f>Indicators!C19</f>
        <v/>
      </c>
      <c r="C19" s="13">
        <f>IF(COUNT(Data!D20,Data!G20,Data!J20,Data!M20,Data!P20,Data!S20)&lt;6,"",IF(MAX(Data!D20,Data!G20,Data!J20,Data!M20,Data!P20,Data!S20)=MIN(Data!D20,Data!G20,Data!J20,Data!M20,Data!P20,Data!S20),"",IF(Data!$C20="Lower is better",100*(MAX(Data!D20,Data!G20,Data!J20,Data!M20,Data!P20,Data!S20)-Data!D20)/(MAX(Data!D20,Data!G20,Data!J20,Data!M20,Data!P20,Data!S20)-MIN(Data!D20,Data!G20,Data!J20,Data!M20,Data!P20,Data!S20)),100*(Data!D20-MIN(Data!D20,Data!G20,Data!J20,Data!M20,Data!P20,Data!S20))/(MAX(Data!D20,Data!G20,Data!J20,Data!M20,Data!P20,Data!S20)-MIN(Data!D20,Data!G20,Data!J20,Data!M20,Data!P20,Data!S20)))))</f>
        <v/>
      </c>
      <c r="D19" s="13">
        <f>IF(COUNT(Data!D20,Data!G20,Data!J20,Data!M20,Data!P20,Data!S20)&lt;6,"",IF(MAX(Data!D20,Data!G20,Data!J20,Data!M20,Data!P20,Data!S20)=MIN(Data!D20,Data!G20,Data!J20,Data!M20,Data!P20,Data!S20),"",IF(Data!$C20="Lower is better",100*(MAX(Data!D20,Data!G20,Data!J20,Data!M20,Data!P20,Data!S20)-Data!G20)/(MAX(Data!D20,Data!G20,Data!J20,Data!M20,Data!P20,Data!S20)-MIN(Data!D20,Data!G20,Data!J20,Data!M20,Data!P20,Data!S20)),100*(Data!G20-MIN(Data!D20,Data!G20,Data!J20,Data!M20,Data!P20,Data!S20))/(MAX(Data!D20,Data!G20,Data!J20,Data!M20,Data!P20,Data!S20)-MIN(Data!D20,Data!G20,Data!J20,Data!M20,Data!P20,Data!S20)))))</f>
        <v/>
      </c>
      <c r="E19" s="13">
        <f>IF(COUNT(Data!D20,Data!G20,Data!J20,Data!M20,Data!P20,Data!S20)&lt;6,"",IF(MAX(Data!D20,Data!G20,Data!J20,Data!M20,Data!P20,Data!S20)=MIN(Data!D20,Data!G20,Data!J20,Data!M20,Data!P20,Data!S20),"",IF(Data!$C20="Lower is better",100*(MAX(Data!D20,Data!G20,Data!J20,Data!M20,Data!P20,Data!S20)-Data!J20)/(MAX(Data!D20,Data!G20,Data!J20,Data!M20,Data!P20,Data!S20)-MIN(Data!D20,Data!G20,Data!J20,Data!M20,Data!P20,Data!S20)),100*(Data!J20-MIN(Data!D20,Data!G20,Data!J20,Data!M20,Data!P20,Data!S20))/(MAX(Data!D20,Data!G20,Data!J20,Data!M20,Data!P20,Data!S20)-MIN(Data!D20,Data!G20,Data!J20,Data!M20,Data!P20,Data!S20)))))</f>
        <v/>
      </c>
      <c r="F19" s="13">
        <f>IF(COUNT(Data!D20,Data!G20,Data!J20,Data!M20,Data!P20,Data!S20)&lt;6,"",IF(MAX(Data!D20,Data!G20,Data!J20,Data!M20,Data!P20,Data!S20)=MIN(Data!D20,Data!G20,Data!J20,Data!M20,Data!P20,Data!S20),"",IF(Data!$C20="Lower is better",100*(MAX(Data!D20,Data!G20,Data!J20,Data!M20,Data!P20,Data!S20)-Data!M20)/(MAX(Data!D20,Data!G20,Data!J20,Data!M20,Data!P20,Data!S20)-MIN(Data!D20,Data!G20,Data!J20,Data!M20,Data!P20,Data!S20)),100*(Data!M20-MIN(Data!D20,Data!G20,Data!J20,Data!M20,Data!P20,Data!S20))/(MAX(Data!D20,Data!G20,Data!J20,Data!M20,Data!P20,Data!S20)-MIN(Data!D20,Data!G20,Data!J20,Data!M20,Data!P20,Data!S20)))))</f>
        <v/>
      </c>
      <c r="G19" s="13">
        <f>IF(COUNT(Data!D20,Data!G20,Data!J20,Data!M20,Data!P20,Data!S20)&lt;6,"",IF(MAX(Data!D20,Data!G20,Data!J20,Data!M20,Data!P20,Data!S20)=MIN(Data!D20,Data!G20,Data!J20,Data!M20,Data!P20,Data!S20),"",IF(Data!$C20="Lower is better",100*(MAX(Data!D20,Data!G20,Data!J20,Data!M20,Data!P20,Data!S20)-Data!P20)/(MAX(Data!D20,Data!G20,Data!J20,Data!M20,Data!P20,Data!S20)-MIN(Data!D20,Data!G20,Data!J20,Data!M20,Data!P20,Data!S20)),100*(Data!P20-MIN(Data!D20,Data!G20,Data!J20,Data!M20,Data!P20,Data!S20))/(MAX(Data!D20,Data!G20,Data!J20,Data!M20,Data!P20,Data!S20)-MIN(Data!D20,Data!G20,Data!J20,Data!M20,Data!P20,Data!S20)))))</f>
        <v/>
      </c>
      <c r="H19" s="13">
        <f>IF(COUNT(Data!D20,Data!G20,Data!J20,Data!M20,Data!P20,Data!S20)&lt;6,"",IF(MAX(Data!D20,Data!G20,Data!J20,Data!M20,Data!P20,Data!S20)=MIN(Data!D20,Data!G20,Data!J20,Data!M20,Data!P20,Data!S20),"",IF(Data!$C20="Lower is better",100*(MAX(Data!D20,Data!G20,Data!J20,Data!M20,Data!P20,Data!S20)-Data!S20)/(MAX(Data!D20,Data!G20,Data!J20,Data!M20,Data!P20,Data!S20)-MIN(Data!D20,Data!G20,Data!J20,Data!M20,Data!P20,Data!S20)),100*(Data!S20-MIN(Data!D20,Data!G20,Data!J20,Data!M20,Data!P20,Data!S20))/(MAX(Data!D20,Data!G20,Data!J20,Data!M20,Data!P20,Data!S20)-MIN(Data!D20,Data!G20,Data!J20,Data!M20,Data!P20,Data!S20)))))</f>
        <v/>
      </c>
    </row>
    <row r="20">
      <c r="A20" s="8">
        <f>Indicators!A20</f>
        <v/>
      </c>
      <c r="B20" s="12">
        <f>Indicators!C20</f>
        <v/>
      </c>
      <c r="C20" s="13">
        <f>IF(COUNT(Data!D21,Data!G21,Data!J21,Data!M21,Data!P21,Data!S21)&lt;6,"",IF(MAX(Data!D21,Data!G21,Data!J21,Data!M21,Data!P21,Data!S21)=MIN(Data!D21,Data!G21,Data!J21,Data!M21,Data!P21,Data!S21),"",IF(Data!$C21="Lower is better",100*(MAX(Data!D21,Data!G21,Data!J21,Data!M21,Data!P21,Data!S21)-Data!D21)/(MAX(Data!D21,Data!G21,Data!J21,Data!M21,Data!P21,Data!S21)-MIN(Data!D21,Data!G21,Data!J21,Data!M21,Data!P21,Data!S21)),100*(Data!D21-MIN(Data!D21,Data!G21,Data!J21,Data!M21,Data!P21,Data!S21))/(MAX(Data!D21,Data!G21,Data!J21,Data!M21,Data!P21,Data!S21)-MIN(Data!D21,Data!G21,Data!J21,Data!M21,Data!P21,Data!S21)))))</f>
        <v/>
      </c>
      <c r="D20" s="13">
        <f>IF(COUNT(Data!D21,Data!G21,Data!J21,Data!M21,Data!P21,Data!S21)&lt;6,"",IF(MAX(Data!D21,Data!G21,Data!J21,Data!M21,Data!P21,Data!S21)=MIN(Data!D21,Data!G21,Data!J21,Data!M21,Data!P21,Data!S21),"",IF(Data!$C21="Lower is better",100*(MAX(Data!D21,Data!G21,Data!J21,Data!M21,Data!P21,Data!S21)-Data!G21)/(MAX(Data!D21,Data!G21,Data!J21,Data!M21,Data!P21,Data!S21)-MIN(Data!D21,Data!G21,Data!J21,Data!M21,Data!P21,Data!S21)),100*(Data!G21-MIN(Data!D21,Data!G21,Data!J21,Data!M21,Data!P21,Data!S21))/(MAX(Data!D21,Data!G21,Data!J21,Data!M21,Data!P21,Data!S21)-MIN(Data!D21,Data!G21,Data!J21,Data!M21,Data!P21,Data!S21)))))</f>
        <v/>
      </c>
      <c r="E20" s="13">
        <f>IF(COUNT(Data!D21,Data!G21,Data!J21,Data!M21,Data!P21,Data!S21)&lt;6,"",IF(MAX(Data!D21,Data!G21,Data!J21,Data!M21,Data!P21,Data!S21)=MIN(Data!D21,Data!G21,Data!J21,Data!M21,Data!P21,Data!S21),"",IF(Data!$C21="Lower is better",100*(MAX(Data!D21,Data!G21,Data!J21,Data!M21,Data!P21,Data!S21)-Data!J21)/(MAX(Data!D21,Data!G21,Data!J21,Data!M21,Data!P21,Data!S21)-MIN(Data!D21,Data!G21,Data!J21,Data!M21,Data!P21,Data!S21)),100*(Data!J21-MIN(Data!D21,Data!G21,Data!J21,Data!M21,Data!P21,Data!S21))/(MAX(Data!D21,Data!G21,Data!J21,Data!M21,Data!P21,Data!S21)-MIN(Data!D21,Data!G21,Data!J21,Data!M21,Data!P21,Data!S21)))))</f>
        <v/>
      </c>
      <c r="F20" s="13">
        <f>IF(COUNT(Data!D21,Data!G21,Data!J21,Data!M21,Data!P21,Data!S21)&lt;6,"",IF(MAX(Data!D21,Data!G21,Data!J21,Data!M21,Data!P21,Data!S21)=MIN(Data!D21,Data!G21,Data!J21,Data!M21,Data!P21,Data!S21),"",IF(Data!$C21="Lower is better",100*(MAX(Data!D21,Data!G21,Data!J21,Data!M21,Data!P21,Data!S21)-Data!M21)/(MAX(Data!D21,Data!G21,Data!J21,Data!M21,Data!P21,Data!S21)-MIN(Data!D21,Data!G21,Data!J21,Data!M21,Data!P21,Data!S21)),100*(Data!M21-MIN(Data!D21,Data!G21,Data!J21,Data!M21,Data!P21,Data!S21))/(MAX(Data!D21,Data!G21,Data!J21,Data!M21,Data!P21,Data!S21)-MIN(Data!D21,Data!G21,Data!J21,Data!M21,Data!P21,Data!S21)))))</f>
        <v/>
      </c>
      <c r="G20" s="13">
        <f>IF(COUNT(Data!D21,Data!G21,Data!J21,Data!M21,Data!P21,Data!S21)&lt;6,"",IF(MAX(Data!D21,Data!G21,Data!J21,Data!M21,Data!P21,Data!S21)=MIN(Data!D21,Data!G21,Data!J21,Data!M21,Data!P21,Data!S21),"",IF(Data!$C21="Lower is better",100*(MAX(Data!D21,Data!G21,Data!J21,Data!M21,Data!P21,Data!S21)-Data!P21)/(MAX(Data!D21,Data!G21,Data!J21,Data!M21,Data!P21,Data!S21)-MIN(Data!D21,Data!G21,Data!J21,Data!M21,Data!P21,Data!S21)),100*(Data!P21-MIN(Data!D21,Data!G21,Data!J21,Data!M21,Data!P21,Data!S21))/(MAX(Data!D21,Data!G21,Data!J21,Data!M21,Data!P21,Data!S21)-MIN(Data!D21,Data!G21,Data!J21,Data!M21,Data!P21,Data!S21)))))</f>
        <v/>
      </c>
      <c r="H20" s="13">
        <f>IF(COUNT(Data!D21,Data!G21,Data!J21,Data!M21,Data!P21,Data!S21)&lt;6,"",IF(MAX(Data!D21,Data!G21,Data!J21,Data!M21,Data!P21,Data!S21)=MIN(Data!D21,Data!G21,Data!J21,Data!M21,Data!P21,Data!S21),"",IF(Data!$C21="Lower is better",100*(MAX(Data!D21,Data!G21,Data!J21,Data!M21,Data!P21,Data!S21)-Data!S21)/(MAX(Data!D21,Data!G21,Data!J21,Data!M21,Data!P21,Data!S21)-MIN(Data!D21,Data!G21,Data!J21,Data!M21,Data!P21,Data!S21)),100*(Data!S21-MIN(Data!D21,Data!G21,Data!J21,Data!M21,Data!P21,Data!S21))/(MAX(Data!D21,Data!G21,Data!J21,Data!M21,Data!P21,Data!S21)-MIN(Data!D21,Data!G21,Data!J21,Data!M21,Data!P21,Data!S21)))))</f>
        <v/>
      </c>
    </row>
    <row r="21">
      <c r="A21" s="8">
        <f>Indicators!A21</f>
        <v/>
      </c>
      <c r="B21" s="12">
        <f>Indicators!C21</f>
        <v/>
      </c>
      <c r="C21" s="13">
        <f>IF(COUNT(Data!D22,Data!G22,Data!J22,Data!M22,Data!P22,Data!S22)&lt;6,"",IF(MAX(Data!D22,Data!G22,Data!J22,Data!M22,Data!P22,Data!S22)=MIN(Data!D22,Data!G22,Data!J22,Data!M22,Data!P22,Data!S22),"",IF(Data!$C22="Lower is better",100*(MAX(Data!D22,Data!G22,Data!J22,Data!M22,Data!P22,Data!S22)-Data!D22)/(MAX(Data!D22,Data!G22,Data!J22,Data!M22,Data!P22,Data!S22)-MIN(Data!D22,Data!G22,Data!J22,Data!M22,Data!P22,Data!S22)),100*(Data!D22-MIN(Data!D22,Data!G22,Data!J22,Data!M22,Data!P22,Data!S22))/(MAX(Data!D22,Data!G22,Data!J22,Data!M22,Data!P22,Data!S22)-MIN(Data!D22,Data!G22,Data!J22,Data!M22,Data!P22,Data!S22)))))</f>
        <v/>
      </c>
      <c r="D21" s="13">
        <f>IF(COUNT(Data!D22,Data!G22,Data!J22,Data!M22,Data!P22,Data!S22)&lt;6,"",IF(MAX(Data!D22,Data!G22,Data!J22,Data!M22,Data!P22,Data!S22)=MIN(Data!D22,Data!G22,Data!J22,Data!M22,Data!P22,Data!S22),"",IF(Data!$C22="Lower is better",100*(MAX(Data!D22,Data!G22,Data!J22,Data!M22,Data!P22,Data!S22)-Data!G22)/(MAX(Data!D22,Data!G22,Data!J22,Data!M22,Data!P22,Data!S22)-MIN(Data!D22,Data!G22,Data!J22,Data!M22,Data!P22,Data!S22)),100*(Data!G22-MIN(Data!D22,Data!G22,Data!J22,Data!M22,Data!P22,Data!S22))/(MAX(Data!D22,Data!G22,Data!J22,Data!M22,Data!P22,Data!S22)-MIN(Data!D22,Data!G22,Data!J22,Data!M22,Data!P22,Data!S22)))))</f>
        <v/>
      </c>
      <c r="E21" s="13">
        <f>IF(COUNT(Data!D22,Data!G22,Data!J22,Data!M22,Data!P22,Data!S22)&lt;6,"",IF(MAX(Data!D22,Data!G22,Data!J22,Data!M22,Data!P22,Data!S22)=MIN(Data!D22,Data!G22,Data!J22,Data!M22,Data!P22,Data!S22),"",IF(Data!$C22="Lower is better",100*(MAX(Data!D22,Data!G22,Data!J22,Data!M22,Data!P22,Data!S22)-Data!J22)/(MAX(Data!D22,Data!G22,Data!J22,Data!M22,Data!P22,Data!S22)-MIN(Data!D22,Data!G22,Data!J22,Data!M22,Data!P22,Data!S22)),100*(Data!J22-MIN(Data!D22,Data!G22,Data!J22,Data!M22,Data!P22,Data!S22))/(MAX(Data!D22,Data!G22,Data!J22,Data!M22,Data!P22,Data!S22)-MIN(Data!D22,Data!G22,Data!J22,Data!M22,Data!P22,Data!S22)))))</f>
        <v/>
      </c>
      <c r="F21" s="13">
        <f>IF(COUNT(Data!D22,Data!G22,Data!J22,Data!M22,Data!P22,Data!S22)&lt;6,"",IF(MAX(Data!D22,Data!G22,Data!J22,Data!M22,Data!P22,Data!S22)=MIN(Data!D22,Data!G22,Data!J22,Data!M22,Data!P22,Data!S22),"",IF(Data!$C22="Lower is better",100*(MAX(Data!D22,Data!G22,Data!J22,Data!M22,Data!P22,Data!S22)-Data!M22)/(MAX(Data!D22,Data!G22,Data!J22,Data!M22,Data!P22,Data!S22)-MIN(Data!D22,Data!G22,Data!J22,Data!M22,Data!P22,Data!S22)),100*(Data!M22-MIN(Data!D22,Data!G22,Data!J22,Data!M22,Data!P22,Data!S22))/(MAX(Data!D22,Data!G22,Data!J22,Data!M22,Data!P22,Data!S22)-MIN(Data!D22,Data!G22,Data!J22,Data!M22,Data!P22,Data!S22)))))</f>
        <v/>
      </c>
      <c r="G21" s="13">
        <f>IF(COUNT(Data!D22,Data!G22,Data!J22,Data!M22,Data!P22,Data!S22)&lt;6,"",IF(MAX(Data!D22,Data!G22,Data!J22,Data!M22,Data!P22,Data!S22)=MIN(Data!D22,Data!G22,Data!J22,Data!M22,Data!P22,Data!S22),"",IF(Data!$C22="Lower is better",100*(MAX(Data!D22,Data!G22,Data!J22,Data!M22,Data!P22,Data!S22)-Data!P22)/(MAX(Data!D22,Data!G22,Data!J22,Data!M22,Data!P22,Data!S22)-MIN(Data!D22,Data!G22,Data!J22,Data!M22,Data!P22,Data!S22)),100*(Data!P22-MIN(Data!D22,Data!G22,Data!J22,Data!M22,Data!P22,Data!S22))/(MAX(Data!D22,Data!G22,Data!J22,Data!M22,Data!P22,Data!S22)-MIN(Data!D22,Data!G22,Data!J22,Data!M22,Data!P22,Data!S22)))))</f>
        <v/>
      </c>
      <c r="H21" s="13">
        <f>IF(COUNT(Data!D22,Data!G22,Data!J22,Data!M22,Data!P22,Data!S22)&lt;6,"",IF(MAX(Data!D22,Data!G22,Data!J22,Data!M22,Data!P22,Data!S22)=MIN(Data!D22,Data!G22,Data!J22,Data!M22,Data!P22,Data!S22),"",IF(Data!$C22="Lower is better",100*(MAX(Data!D22,Data!G22,Data!J22,Data!M22,Data!P22,Data!S22)-Data!S22)/(MAX(Data!D22,Data!G22,Data!J22,Data!M22,Data!P22,Data!S22)-MIN(Data!D22,Data!G22,Data!J22,Data!M22,Data!P22,Data!S22)),100*(Data!S22-MIN(Data!D22,Data!G22,Data!J22,Data!M22,Data!P22,Data!S22))/(MAX(Data!D22,Data!G22,Data!J22,Data!M22,Data!P22,Data!S22)-MIN(Data!D22,Data!G22,Data!J22,Data!M22,Data!P22,Data!S22)))))</f>
        <v/>
      </c>
    </row>
    <row r="22">
      <c r="A22" s="8">
        <f>Indicators!A22</f>
        <v/>
      </c>
      <c r="B22" s="12">
        <f>Indicators!C22</f>
        <v/>
      </c>
      <c r="C22" s="13">
        <f>IF(COUNT(Data!D23,Data!G23,Data!J23,Data!M23,Data!P23,Data!S23)&lt;6,"",IF(MAX(Data!D23,Data!G23,Data!J23,Data!M23,Data!P23,Data!S23)=MIN(Data!D23,Data!G23,Data!J23,Data!M23,Data!P23,Data!S23),"",IF(Data!$C23="Lower is better",100*(MAX(Data!D23,Data!G23,Data!J23,Data!M23,Data!P23,Data!S23)-Data!D23)/(MAX(Data!D23,Data!G23,Data!J23,Data!M23,Data!P23,Data!S23)-MIN(Data!D23,Data!G23,Data!J23,Data!M23,Data!P23,Data!S23)),100*(Data!D23-MIN(Data!D23,Data!G23,Data!J23,Data!M23,Data!P23,Data!S23))/(MAX(Data!D23,Data!G23,Data!J23,Data!M23,Data!P23,Data!S23)-MIN(Data!D23,Data!G23,Data!J23,Data!M23,Data!P23,Data!S23)))))</f>
        <v/>
      </c>
      <c r="D22" s="13">
        <f>IF(COUNT(Data!D23,Data!G23,Data!J23,Data!M23,Data!P23,Data!S23)&lt;6,"",IF(MAX(Data!D23,Data!G23,Data!J23,Data!M23,Data!P23,Data!S23)=MIN(Data!D23,Data!G23,Data!J23,Data!M23,Data!P23,Data!S23),"",IF(Data!$C23="Lower is better",100*(MAX(Data!D23,Data!G23,Data!J23,Data!M23,Data!P23,Data!S23)-Data!G23)/(MAX(Data!D23,Data!G23,Data!J23,Data!M23,Data!P23,Data!S23)-MIN(Data!D23,Data!G23,Data!J23,Data!M23,Data!P23,Data!S23)),100*(Data!G23-MIN(Data!D23,Data!G23,Data!J23,Data!M23,Data!P23,Data!S23))/(MAX(Data!D23,Data!G23,Data!J23,Data!M23,Data!P23,Data!S23)-MIN(Data!D23,Data!G23,Data!J23,Data!M23,Data!P23,Data!S23)))))</f>
        <v/>
      </c>
      <c r="E22" s="13">
        <f>IF(COUNT(Data!D23,Data!G23,Data!J23,Data!M23,Data!P23,Data!S23)&lt;6,"",IF(MAX(Data!D23,Data!G23,Data!J23,Data!M23,Data!P23,Data!S23)=MIN(Data!D23,Data!G23,Data!J23,Data!M23,Data!P23,Data!S23),"",IF(Data!$C23="Lower is better",100*(MAX(Data!D23,Data!G23,Data!J23,Data!M23,Data!P23,Data!S23)-Data!J23)/(MAX(Data!D23,Data!G23,Data!J23,Data!M23,Data!P23,Data!S23)-MIN(Data!D23,Data!G23,Data!J23,Data!M23,Data!P23,Data!S23)),100*(Data!J23-MIN(Data!D23,Data!G23,Data!J23,Data!M23,Data!P23,Data!S23))/(MAX(Data!D23,Data!G23,Data!J23,Data!M23,Data!P23,Data!S23)-MIN(Data!D23,Data!G23,Data!J23,Data!M23,Data!P23,Data!S23)))))</f>
        <v/>
      </c>
      <c r="F22" s="13">
        <f>IF(COUNT(Data!D23,Data!G23,Data!J23,Data!M23,Data!P23,Data!S23)&lt;6,"",IF(MAX(Data!D23,Data!G23,Data!J23,Data!M23,Data!P23,Data!S23)=MIN(Data!D23,Data!G23,Data!J23,Data!M23,Data!P23,Data!S23),"",IF(Data!$C23="Lower is better",100*(MAX(Data!D23,Data!G23,Data!J23,Data!M23,Data!P23,Data!S23)-Data!M23)/(MAX(Data!D23,Data!G23,Data!J23,Data!M23,Data!P23,Data!S23)-MIN(Data!D23,Data!G23,Data!J23,Data!M23,Data!P23,Data!S23)),100*(Data!M23-MIN(Data!D23,Data!G23,Data!J23,Data!M23,Data!P23,Data!S23))/(MAX(Data!D23,Data!G23,Data!J23,Data!M23,Data!P23,Data!S23)-MIN(Data!D23,Data!G23,Data!J23,Data!M23,Data!P23,Data!S23)))))</f>
        <v/>
      </c>
      <c r="G22" s="13">
        <f>IF(COUNT(Data!D23,Data!G23,Data!J23,Data!M23,Data!P23,Data!S23)&lt;6,"",IF(MAX(Data!D23,Data!G23,Data!J23,Data!M23,Data!P23,Data!S23)=MIN(Data!D23,Data!G23,Data!J23,Data!M23,Data!P23,Data!S23),"",IF(Data!$C23="Lower is better",100*(MAX(Data!D23,Data!G23,Data!J23,Data!M23,Data!P23,Data!S23)-Data!P23)/(MAX(Data!D23,Data!G23,Data!J23,Data!M23,Data!P23,Data!S23)-MIN(Data!D23,Data!G23,Data!J23,Data!M23,Data!P23,Data!S23)),100*(Data!P23-MIN(Data!D23,Data!G23,Data!J23,Data!M23,Data!P23,Data!S23))/(MAX(Data!D23,Data!G23,Data!J23,Data!M23,Data!P23,Data!S23)-MIN(Data!D23,Data!G23,Data!J23,Data!M23,Data!P23,Data!S23)))))</f>
        <v/>
      </c>
      <c r="H22" s="13">
        <f>IF(COUNT(Data!D23,Data!G23,Data!J23,Data!M23,Data!P23,Data!S23)&lt;6,"",IF(MAX(Data!D23,Data!G23,Data!J23,Data!M23,Data!P23,Data!S23)=MIN(Data!D23,Data!G23,Data!J23,Data!M23,Data!P23,Data!S23),"",IF(Data!$C23="Lower is better",100*(MAX(Data!D23,Data!G23,Data!J23,Data!M23,Data!P23,Data!S23)-Data!S23)/(MAX(Data!D23,Data!G23,Data!J23,Data!M23,Data!P23,Data!S23)-MIN(Data!D23,Data!G23,Data!J23,Data!M23,Data!P23,Data!S23)),100*(Data!S23-MIN(Data!D23,Data!G23,Data!J23,Data!M23,Data!P23,Data!S23))/(MAX(Data!D23,Data!G23,Data!J23,Data!M23,Data!P23,Data!S23)-MIN(Data!D23,Data!G23,Data!J23,Data!M23,Data!P23,Data!S23)))))</f>
        <v/>
      </c>
    </row>
    <row r="23">
      <c r="A23" s="8">
        <f>Indicators!A23</f>
        <v/>
      </c>
      <c r="B23" s="12">
        <f>Indicators!C23</f>
        <v/>
      </c>
      <c r="C23" s="13">
        <f>IF(COUNT(Data!D24,Data!G24,Data!J24,Data!M24,Data!P24,Data!S24)&lt;6,"",IF(MAX(Data!D24,Data!G24,Data!J24,Data!M24,Data!P24,Data!S24)=MIN(Data!D24,Data!G24,Data!J24,Data!M24,Data!P24,Data!S24),"",IF(Data!$C24="Lower is better",100*(MAX(Data!D24,Data!G24,Data!J24,Data!M24,Data!P24,Data!S24)-Data!D24)/(MAX(Data!D24,Data!G24,Data!J24,Data!M24,Data!P24,Data!S24)-MIN(Data!D24,Data!G24,Data!J24,Data!M24,Data!P24,Data!S24)),100*(Data!D24-MIN(Data!D24,Data!G24,Data!J24,Data!M24,Data!P24,Data!S24))/(MAX(Data!D24,Data!G24,Data!J24,Data!M24,Data!P24,Data!S24)-MIN(Data!D24,Data!G24,Data!J24,Data!M24,Data!P24,Data!S24)))))</f>
        <v/>
      </c>
      <c r="D23" s="13">
        <f>IF(COUNT(Data!D24,Data!G24,Data!J24,Data!M24,Data!P24,Data!S24)&lt;6,"",IF(MAX(Data!D24,Data!G24,Data!J24,Data!M24,Data!P24,Data!S24)=MIN(Data!D24,Data!G24,Data!J24,Data!M24,Data!P24,Data!S24),"",IF(Data!$C24="Lower is better",100*(MAX(Data!D24,Data!G24,Data!J24,Data!M24,Data!P24,Data!S24)-Data!G24)/(MAX(Data!D24,Data!G24,Data!J24,Data!M24,Data!P24,Data!S24)-MIN(Data!D24,Data!G24,Data!J24,Data!M24,Data!P24,Data!S24)),100*(Data!G24-MIN(Data!D24,Data!G24,Data!J24,Data!M24,Data!P24,Data!S24))/(MAX(Data!D24,Data!G24,Data!J24,Data!M24,Data!P24,Data!S24)-MIN(Data!D24,Data!G24,Data!J24,Data!M24,Data!P24,Data!S24)))))</f>
        <v/>
      </c>
      <c r="E23" s="13">
        <f>IF(COUNT(Data!D24,Data!G24,Data!J24,Data!M24,Data!P24,Data!S24)&lt;6,"",IF(MAX(Data!D24,Data!G24,Data!J24,Data!M24,Data!P24,Data!S24)=MIN(Data!D24,Data!G24,Data!J24,Data!M24,Data!P24,Data!S24),"",IF(Data!$C24="Lower is better",100*(MAX(Data!D24,Data!G24,Data!J24,Data!M24,Data!P24,Data!S24)-Data!J24)/(MAX(Data!D24,Data!G24,Data!J24,Data!M24,Data!P24,Data!S24)-MIN(Data!D24,Data!G24,Data!J24,Data!M24,Data!P24,Data!S24)),100*(Data!J24-MIN(Data!D24,Data!G24,Data!J24,Data!M24,Data!P24,Data!S24))/(MAX(Data!D24,Data!G24,Data!J24,Data!M24,Data!P24,Data!S24)-MIN(Data!D24,Data!G24,Data!J24,Data!M24,Data!P24,Data!S24)))))</f>
        <v/>
      </c>
      <c r="F23" s="13">
        <f>IF(COUNT(Data!D24,Data!G24,Data!J24,Data!M24,Data!P24,Data!S24)&lt;6,"",IF(MAX(Data!D24,Data!G24,Data!J24,Data!M24,Data!P24,Data!S24)=MIN(Data!D24,Data!G24,Data!J24,Data!M24,Data!P24,Data!S24),"",IF(Data!$C24="Lower is better",100*(MAX(Data!D24,Data!G24,Data!J24,Data!M24,Data!P24,Data!S24)-Data!M24)/(MAX(Data!D24,Data!G24,Data!J24,Data!M24,Data!P24,Data!S24)-MIN(Data!D24,Data!G24,Data!J24,Data!M24,Data!P24,Data!S24)),100*(Data!M24-MIN(Data!D24,Data!G24,Data!J24,Data!M24,Data!P24,Data!S24))/(MAX(Data!D24,Data!G24,Data!J24,Data!M24,Data!P24,Data!S24)-MIN(Data!D24,Data!G24,Data!J24,Data!M24,Data!P24,Data!S24)))))</f>
        <v/>
      </c>
      <c r="G23" s="13">
        <f>IF(COUNT(Data!D24,Data!G24,Data!J24,Data!M24,Data!P24,Data!S24)&lt;6,"",IF(MAX(Data!D24,Data!G24,Data!J24,Data!M24,Data!P24,Data!S24)=MIN(Data!D24,Data!G24,Data!J24,Data!M24,Data!P24,Data!S24),"",IF(Data!$C24="Lower is better",100*(MAX(Data!D24,Data!G24,Data!J24,Data!M24,Data!P24,Data!S24)-Data!P24)/(MAX(Data!D24,Data!G24,Data!J24,Data!M24,Data!P24,Data!S24)-MIN(Data!D24,Data!G24,Data!J24,Data!M24,Data!P24,Data!S24)),100*(Data!P24-MIN(Data!D24,Data!G24,Data!J24,Data!M24,Data!P24,Data!S24))/(MAX(Data!D24,Data!G24,Data!J24,Data!M24,Data!P24,Data!S24)-MIN(Data!D24,Data!G24,Data!J24,Data!M24,Data!P24,Data!S24)))))</f>
        <v/>
      </c>
      <c r="H23" s="13">
        <f>IF(COUNT(Data!D24,Data!G24,Data!J24,Data!M24,Data!P24,Data!S24)&lt;6,"",IF(MAX(Data!D24,Data!G24,Data!J24,Data!M24,Data!P24,Data!S24)=MIN(Data!D24,Data!G24,Data!J24,Data!M24,Data!P24,Data!S24),"",IF(Data!$C24="Lower is better",100*(MAX(Data!D24,Data!G24,Data!J24,Data!M24,Data!P24,Data!S24)-Data!S24)/(MAX(Data!D24,Data!G24,Data!J24,Data!M24,Data!P24,Data!S24)-MIN(Data!D24,Data!G24,Data!J24,Data!M24,Data!P24,Data!S24)),100*(Data!S24-MIN(Data!D24,Data!G24,Data!J24,Data!M24,Data!P24,Data!S24))/(MAX(Data!D24,Data!G24,Data!J24,Data!M24,Data!P24,Data!S24)-MIN(Data!D24,Data!G24,Data!J24,Data!M24,Data!P24,Data!S24)))))</f>
        <v/>
      </c>
    </row>
    <row r="24">
      <c r="A24" s="8">
        <f>Indicators!A24</f>
        <v/>
      </c>
      <c r="B24" s="12">
        <f>Indicators!C24</f>
        <v/>
      </c>
      <c r="C24" s="13">
        <f>IF(COUNT(Data!D25,Data!G25,Data!J25,Data!M25,Data!P25,Data!S25)&lt;6,"",IF(MAX(Data!D25,Data!G25,Data!J25,Data!M25,Data!P25,Data!S25)=MIN(Data!D25,Data!G25,Data!J25,Data!M25,Data!P25,Data!S25),"",IF(Data!$C25="Lower is better",100*(MAX(Data!D25,Data!G25,Data!J25,Data!M25,Data!P25,Data!S25)-Data!D25)/(MAX(Data!D25,Data!G25,Data!J25,Data!M25,Data!P25,Data!S25)-MIN(Data!D25,Data!G25,Data!J25,Data!M25,Data!P25,Data!S25)),100*(Data!D25-MIN(Data!D25,Data!G25,Data!J25,Data!M25,Data!P25,Data!S25))/(MAX(Data!D25,Data!G25,Data!J25,Data!M25,Data!P25,Data!S25)-MIN(Data!D25,Data!G25,Data!J25,Data!M25,Data!P25,Data!S25)))))</f>
        <v/>
      </c>
      <c r="D24" s="13">
        <f>IF(COUNT(Data!D25,Data!G25,Data!J25,Data!M25,Data!P25,Data!S25)&lt;6,"",IF(MAX(Data!D25,Data!G25,Data!J25,Data!M25,Data!P25,Data!S25)=MIN(Data!D25,Data!G25,Data!J25,Data!M25,Data!P25,Data!S25),"",IF(Data!$C25="Lower is better",100*(MAX(Data!D25,Data!G25,Data!J25,Data!M25,Data!P25,Data!S25)-Data!G25)/(MAX(Data!D25,Data!G25,Data!J25,Data!M25,Data!P25,Data!S25)-MIN(Data!D25,Data!G25,Data!J25,Data!M25,Data!P25,Data!S25)),100*(Data!G25-MIN(Data!D25,Data!G25,Data!J25,Data!M25,Data!P25,Data!S25))/(MAX(Data!D25,Data!G25,Data!J25,Data!M25,Data!P25,Data!S25)-MIN(Data!D25,Data!G25,Data!J25,Data!M25,Data!P25,Data!S25)))))</f>
        <v/>
      </c>
      <c r="E24" s="13">
        <f>IF(COUNT(Data!D25,Data!G25,Data!J25,Data!M25,Data!P25,Data!S25)&lt;6,"",IF(MAX(Data!D25,Data!G25,Data!J25,Data!M25,Data!P25,Data!S25)=MIN(Data!D25,Data!G25,Data!J25,Data!M25,Data!P25,Data!S25),"",IF(Data!$C25="Lower is better",100*(MAX(Data!D25,Data!G25,Data!J25,Data!M25,Data!P25,Data!S25)-Data!J25)/(MAX(Data!D25,Data!G25,Data!J25,Data!M25,Data!P25,Data!S25)-MIN(Data!D25,Data!G25,Data!J25,Data!M25,Data!P25,Data!S25)),100*(Data!J25-MIN(Data!D25,Data!G25,Data!J25,Data!M25,Data!P25,Data!S25))/(MAX(Data!D25,Data!G25,Data!J25,Data!M25,Data!P25,Data!S25)-MIN(Data!D25,Data!G25,Data!J25,Data!M25,Data!P25,Data!S25)))))</f>
        <v/>
      </c>
      <c r="F24" s="13">
        <f>IF(COUNT(Data!D25,Data!G25,Data!J25,Data!M25,Data!P25,Data!S25)&lt;6,"",IF(MAX(Data!D25,Data!G25,Data!J25,Data!M25,Data!P25,Data!S25)=MIN(Data!D25,Data!G25,Data!J25,Data!M25,Data!P25,Data!S25),"",IF(Data!$C25="Lower is better",100*(MAX(Data!D25,Data!G25,Data!J25,Data!M25,Data!P25,Data!S25)-Data!M25)/(MAX(Data!D25,Data!G25,Data!J25,Data!M25,Data!P25,Data!S25)-MIN(Data!D25,Data!G25,Data!J25,Data!M25,Data!P25,Data!S25)),100*(Data!M25-MIN(Data!D25,Data!G25,Data!J25,Data!M25,Data!P25,Data!S25))/(MAX(Data!D25,Data!G25,Data!J25,Data!M25,Data!P25,Data!S25)-MIN(Data!D25,Data!G25,Data!J25,Data!M25,Data!P25,Data!S25)))))</f>
        <v/>
      </c>
      <c r="G24" s="13">
        <f>IF(COUNT(Data!D25,Data!G25,Data!J25,Data!M25,Data!P25,Data!S25)&lt;6,"",IF(MAX(Data!D25,Data!G25,Data!J25,Data!M25,Data!P25,Data!S25)=MIN(Data!D25,Data!G25,Data!J25,Data!M25,Data!P25,Data!S25),"",IF(Data!$C25="Lower is better",100*(MAX(Data!D25,Data!G25,Data!J25,Data!M25,Data!P25,Data!S25)-Data!P25)/(MAX(Data!D25,Data!G25,Data!J25,Data!M25,Data!P25,Data!S25)-MIN(Data!D25,Data!G25,Data!J25,Data!M25,Data!P25,Data!S25)),100*(Data!P25-MIN(Data!D25,Data!G25,Data!J25,Data!M25,Data!P25,Data!S25))/(MAX(Data!D25,Data!G25,Data!J25,Data!M25,Data!P25,Data!S25)-MIN(Data!D25,Data!G25,Data!J25,Data!M25,Data!P25,Data!S25)))))</f>
        <v/>
      </c>
      <c r="H24" s="13">
        <f>IF(COUNT(Data!D25,Data!G25,Data!J25,Data!M25,Data!P25,Data!S25)&lt;6,"",IF(MAX(Data!D25,Data!G25,Data!J25,Data!M25,Data!P25,Data!S25)=MIN(Data!D25,Data!G25,Data!J25,Data!M25,Data!P25,Data!S25),"",IF(Data!$C25="Lower is better",100*(MAX(Data!D25,Data!G25,Data!J25,Data!M25,Data!P25,Data!S25)-Data!S25)/(MAX(Data!D25,Data!G25,Data!J25,Data!M25,Data!P25,Data!S25)-MIN(Data!D25,Data!G25,Data!J25,Data!M25,Data!P25,Data!S25)),100*(Data!S25-MIN(Data!D25,Data!G25,Data!J25,Data!M25,Data!P25,Data!S25))/(MAX(Data!D25,Data!G25,Data!J25,Data!M25,Data!P25,Data!S25)-MIN(Data!D25,Data!G25,Data!J25,Data!M25,Data!P25,Data!S25)))))</f>
        <v/>
      </c>
    </row>
    <row r="25">
      <c r="A25" s="8">
        <f>Indicators!A25</f>
        <v/>
      </c>
      <c r="B25" s="12">
        <f>Indicators!C25</f>
        <v/>
      </c>
      <c r="C25" s="13">
        <f>IF(COUNT(Data!D26,Data!G26,Data!J26,Data!M26,Data!P26,Data!S26)&lt;6,"",IF(MAX(Data!D26,Data!G26,Data!J26,Data!M26,Data!P26,Data!S26)=MIN(Data!D26,Data!G26,Data!J26,Data!M26,Data!P26,Data!S26),"",IF(Data!$C26="Lower is better",100*(MAX(Data!D26,Data!G26,Data!J26,Data!M26,Data!P26,Data!S26)-Data!D26)/(MAX(Data!D26,Data!G26,Data!J26,Data!M26,Data!P26,Data!S26)-MIN(Data!D26,Data!G26,Data!J26,Data!M26,Data!P26,Data!S26)),100*(Data!D26-MIN(Data!D26,Data!G26,Data!J26,Data!M26,Data!P26,Data!S26))/(MAX(Data!D26,Data!G26,Data!J26,Data!M26,Data!P26,Data!S26)-MIN(Data!D26,Data!G26,Data!J26,Data!M26,Data!P26,Data!S26)))))</f>
        <v/>
      </c>
      <c r="D25" s="13">
        <f>IF(COUNT(Data!D26,Data!G26,Data!J26,Data!M26,Data!P26,Data!S26)&lt;6,"",IF(MAX(Data!D26,Data!G26,Data!J26,Data!M26,Data!P26,Data!S26)=MIN(Data!D26,Data!G26,Data!J26,Data!M26,Data!P26,Data!S26),"",IF(Data!$C26="Lower is better",100*(MAX(Data!D26,Data!G26,Data!J26,Data!M26,Data!P26,Data!S26)-Data!G26)/(MAX(Data!D26,Data!G26,Data!J26,Data!M26,Data!P26,Data!S26)-MIN(Data!D26,Data!G26,Data!J26,Data!M26,Data!P26,Data!S26)),100*(Data!G26-MIN(Data!D26,Data!G26,Data!J26,Data!M26,Data!P26,Data!S26))/(MAX(Data!D26,Data!G26,Data!J26,Data!M26,Data!P26,Data!S26)-MIN(Data!D26,Data!G26,Data!J26,Data!M26,Data!P26,Data!S26)))))</f>
        <v/>
      </c>
      <c r="E25" s="13">
        <f>IF(COUNT(Data!D26,Data!G26,Data!J26,Data!M26,Data!P26,Data!S26)&lt;6,"",IF(MAX(Data!D26,Data!G26,Data!J26,Data!M26,Data!P26,Data!S26)=MIN(Data!D26,Data!G26,Data!J26,Data!M26,Data!P26,Data!S26),"",IF(Data!$C26="Lower is better",100*(MAX(Data!D26,Data!G26,Data!J26,Data!M26,Data!P26,Data!S26)-Data!J26)/(MAX(Data!D26,Data!G26,Data!J26,Data!M26,Data!P26,Data!S26)-MIN(Data!D26,Data!G26,Data!J26,Data!M26,Data!P26,Data!S26)),100*(Data!J26-MIN(Data!D26,Data!G26,Data!J26,Data!M26,Data!P26,Data!S26))/(MAX(Data!D26,Data!G26,Data!J26,Data!M26,Data!P26,Data!S26)-MIN(Data!D26,Data!G26,Data!J26,Data!M26,Data!P26,Data!S26)))))</f>
        <v/>
      </c>
      <c r="F25" s="13">
        <f>IF(COUNT(Data!D26,Data!G26,Data!J26,Data!M26,Data!P26,Data!S26)&lt;6,"",IF(MAX(Data!D26,Data!G26,Data!J26,Data!M26,Data!P26,Data!S26)=MIN(Data!D26,Data!G26,Data!J26,Data!M26,Data!P26,Data!S26),"",IF(Data!$C26="Lower is better",100*(MAX(Data!D26,Data!G26,Data!J26,Data!M26,Data!P26,Data!S26)-Data!M26)/(MAX(Data!D26,Data!G26,Data!J26,Data!M26,Data!P26,Data!S26)-MIN(Data!D26,Data!G26,Data!J26,Data!M26,Data!P26,Data!S26)),100*(Data!M26-MIN(Data!D26,Data!G26,Data!J26,Data!M26,Data!P26,Data!S26))/(MAX(Data!D26,Data!G26,Data!J26,Data!M26,Data!P26,Data!S26)-MIN(Data!D26,Data!G26,Data!J26,Data!M26,Data!P26,Data!S26)))))</f>
        <v/>
      </c>
      <c r="G25" s="13">
        <f>IF(COUNT(Data!D26,Data!G26,Data!J26,Data!M26,Data!P26,Data!S26)&lt;6,"",IF(MAX(Data!D26,Data!G26,Data!J26,Data!M26,Data!P26,Data!S26)=MIN(Data!D26,Data!G26,Data!J26,Data!M26,Data!P26,Data!S26),"",IF(Data!$C26="Lower is better",100*(MAX(Data!D26,Data!G26,Data!J26,Data!M26,Data!P26,Data!S26)-Data!P26)/(MAX(Data!D26,Data!G26,Data!J26,Data!M26,Data!P26,Data!S26)-MIN(Data!D26,Data!G26,Data!J26,Data!M26,Data!P26,Data!S26)),100*(Data!P26-MIN(Data!D26,Data!G26,Data!J26,Data!M26,Data!P26,Data!S26))/(MAX(Data!D26,Data!G26,Data!J26,Data!M26,Data!P26,Data!S26)-MIN(Data!D26,Data!G26,Data!J26,Data!M26,Data!P26,Data!S26)))))</f>
        <v/>
      </c>
      <c r="H25" s="13">
        <f>IF(COUNT(Data!D26,Data!G26,Data!J26,Data!M26,Data!P26,Data!S26)&lt;6,"",IF(MAX(Data!D26,Data!G26,Data!J26,Data!M26,Data!P26,Data!S26)=MIN(Data!D26,Data!G26,Data!J26,Data!M26,Data!P26,Data!S26),"",IF(Data!$C26="Lower is better",100*(MAX(Data!D26,Data!G26,Data!J26,Data!M26,Data!P26,Data!S26)-Data!S26)/(MAX(Data!D26,Data!G26,Data!J26,Data!M26,Data!P26,Data!S26)-MIN(Data!D26,Data!G26,Data!J26,Data!M26,Data!P26,Data!S26)),100*(Data!S26-MIN(Data!D26,Data!G26,Data!J26,Data!M26,Data!P26,Data!S26))/(MAX(Data!D26,Data!G26,Data!J26,Data!M26,Data!P26,Data!S26)-MIN(Data!D26,Data!G26,Data!J26,Data!M26,Data!P26,Data!S26)))))</f>
        <v/>
      </c>
    </row>
    <row r="26">
      <c r="A26" s="8">
        <f>Indicators!A26</f>
        <v/>
      </c>
      <c r="B26" s="12">
        <f>Indicators!C26</f>
        <v/>
      </c>
      <c r="C26" s="13">
        <f>IF(COUNT(Data!D27,Data!G27,Data!J27,Data!M27,Data!P27,Data!S27)&lt;6,"",IF(MAX(Data!D27,Data!G27,Data!J27,Data!M27,Data!P27,Data!S27)=MIN(Data!D27,Data!G27,Data!J27,Data!M27,Data!P27,Data!S27),"",IF(Data!$C27="Lower is better",100*(MAX(Data!D27,Data!G27,Data!J27,Data!M27,Data!P27,Data!S27)-Data!D27)/(MAX(Data!D27,Data!G27,Data!J27,Data!M27,Data!P27,Data!S27)-MIN(Data!D27,Data!G27,Data!J27,Data!M27,Data!P27,Data!S27)),100*(Data!D27-MIN(Data!D27,Data!G27,Data!J27,Data!M27,Data!P27,Data!S27))/(MAX(Data!D27,Data!G27,Data!J27,Data!M27,Data!P27,Data!S27)-MIN(Data!D27,Data!G27,Data!J27,Data!M27,Data!P27,Data!S27)))))</f>
        <v/>
      </c>
      <c r="D26" s="13">
        <f>IF(COUNT(Data!D27,Data!G27,Data!J27,Data!M27,Data!P27,Data!S27)&lt;6,"",IF(MAX(Data!D27,Data!G27,Data!J27,Data!M27,Data!P27,Data!S27)=MIN(Data!D27,Data!G27,Data!J27,Data!M27,Data!P27,Data!S27),"",IF(Data!$C27="Lower is better",100*(MAX(Data!D27,Data!G27,Data!J27,Data!M27,Data!P27,Data!S27)-Data!G27)/(MAX(Data!D27,Data!G27,Data!J27,Data!M27,Data!P27,Data!S27)-MIN(Data!D27,Data!G27,Data!J27,Data!M27,Data!P27,Data!S27)),100*(Data!G27-MIN(Data!D27,Data!G27,Data!J27,Data!M27,Data!P27,Data!S27))/(MAX(Data!D27,Data!G27,Data!J27,Data!M27,Data!P27,Data!S27)-MIN(Data!D27,Data!G27,Data!J27,Data!M27,Data!P27,Data!S27)))))</f>
        <v/>
      </c>
      <c r="E26" s="13">
        <f>IF(COUNT(Data!D27,Data!G27,Data!J27,Data!M27,Data!P27,Data!S27)&lt;6,"",IF(MAX(Data!D27,Data!G27,Data!J27,Data!M27,Data!P27,Data!S27)=MIN(Data!D27,Data!G27,Data!J27,Data!M27,Data!P27,Data!S27),"",IF(Data!$C27="Lower is better",100*(MAX(Data!D27,Data!G27,Data!J27,Data!M27,Data!P27,Data!S27)-Data!J27)/(MAX(Data!D27,Data!G27,Data!J27,Data!M27,Data!P27,Data!S27)-MIN(Data!D27,Data!G27,Data!J27,Data!M27,Data!P27,Data!S27)),100*(Data!J27-MIN(Data!D27,Data!G27,Data!J27,Data!M27,Data!P27,Data!S27))/(MAX(Data!D27,Data!G27,Data!J27,Data!M27,Data!P27,Data!S27)-MIN(Data!D27,Data!G27,Data!J27,Data!M27,Data!P27,Data!S27)))))</f>
        <v/>
      </c>
      <c r="F26" s="13">
        <f>IF(COUNT(Data!D27,Data!G27,Data!J27,Data!M27,Data!P27,Data!S27)&lt;6,"",IF(MAX(Data!D27,Data!G27,Data!J27,Data!M27,Data!P27,Data!S27)=MIN(Data!D27,Data!G27,Data!J27,Data!M27,Data!P27,Data!S27),"",IF(Data!$C27="Lower is better",100*(MAX(Data!D27,Data!G27,Data!J27,Data!M27,Data!P27,Data!S27)-Data!M27)/(MAX(Data!D27,Data!G27,Data!J27,Data!M27,Data!P27,Data!S27)-MIN(Data!D27,Data!G27,Data!J27,Data!M27,Data!P27,Data!S27)),100*(Data!M27-MIN(Data!D27,Data!G27,Data!J27,Data!M27,Data!P27,Data!S27))/(MAX(Data!D27,Data!G27,Data!J27,Data!M27,Data!P27,Data!S27)-MIN(Data!D27,Data!G27,Data!J27,Data!M27,Data!P27,Data!S27)))))</f>
        <v/>
      </c>
      <c r="G26" s="13">
        <f>IF(COUNT(Data!D27,Data!G27,Data!J27,Data!M27,Data!P27,Data!S27)&lt;6,"",IF(MAX(Data!D27,Data!G27,Data!J27,Data!M27,Data!P27,Data!S27)=MIN(Data!D27,Data!G27,Data!J27,Data!M27,Data!P27,Data!S27),"",IF(Data!$C27="Lower is better",100*(MAX(Data!D27,Data!G27,Data!J27,Data!M27,Data!P27,Data!S27)-Data!P27)/(MAX(Data!D27,Data!G27,Data!J27,Data!M27,Data!P27,Data!S27)-MIN(Data!D27,Data!G27,Data!J27,Data!M27,Data!P27,Data!S27)),100*(Data!P27-MIN(Data!D27,Data!G27,Data!J27,Data!M27,Data!P27,Data!S27))/(MAX(Data!D27,Data!G27,Data!J27,Data!M27,Data!P27,Data!S27)-MIN(Data!D27,Data!G27,Data!J27,Data!M27,Data!P27,Data!S27)))))</f>
        <v/>
      </c>
      <c r="H26" s="13">
        <f>IF(COUNT(Data!D27,Data!G27,Data!J27,Data!M27,Data!P27,Data!S27)&lt;6,"",IF(MAX(Data!D27,Data!G27,Data!J27,Data!M27,Data!P27,Data!S27)=MIN(Data!D27,Data!G27,Data!J27,Data!M27,Data!P27,Data!S27),"",IF(Data!$C27="Lower is better",100*(MAX(Data!D27,Data!G27,Data!J27,Data!M27,Data!P27,Data!S27)-Data!S27)/(MAX(Data!D27,Data!G27,Data!J27,Data!M27,Data!P27,Data!S27)-MIN(Data!D27,Data!G27,Data!J27,Data!M27,Data!P27,Data!S27)),100*(Data!S27-MIN(Data!D27,Data!G27,Data!J27,Data!M27,Data!P27,Data!S27))/(MAX(Data!D27,Data!G27,Data!J27,Data!M27,Data!P27,Data!S27)-MIN(Data!D27,Data!G27,Data!J27,Data!M27,Data!P27,Data!S27)))))</f>
        <v/>
      </c>
    </row>
    <row r="27">
      <c r="A27" s="8">
        <f>Indicators!A27</f>
        <v/>
      </c>
      <c r="B27" s="12">
        <f>Indicators!C27</f>
        <v/>
      </c>
      <c r="C27" s="13">
        <f>IF(COUNT(Data!D28,Data!G28,Data!J28,Data!M28,Data!P28,Data!S28)&lt;6,"",IF(MAX(Data!D28,Data!G28,Data!J28,Data!M28,Data!P28,Data!S28)=MIN(Data!D28,Data!G28,Data!J28,Data!M28,Data!P28,Data!S28),"",IF(Data!$C28="Lower is better",100*(MAX(Data!D28,Data!G28,Data!J28,Data!M28,Data!P28,Data!S28)-Data!D28)/(MAX(Data!D28,Data!G28,Data!J28,Data!M28,Data!P28,Data!S28)-MIN(Data!D28,Data!G28,Data!J28,Data!M28,Data!P28,Data!S28)),100*(Data!D28-MIN(Data!D28,Data!G28,Data!J28,Data!M28,Data!P28,Data!S28))/(MAX(Data!D28,Data!G28,Data!J28,Data!M28,Data!P28,Data!S28)-MIN(Data!D28,Data!G28,Data!J28,Data!M28,Data!P28,Data!S28)))))</f>
        <v/>
      </c>
      <c r="D27" s="13">
        <f>IF(COUNT(Data!D28,Data!G28,Data!J28,Data!M28,Data!P28,Data!S28)&lt;6,"",IF(MAX(Data!D28,Data!G28,Data!J28,Data!M28,Data!P28,Data!S28)=MIN(Data!D28,Data!G28,Data!J28,Data!M28,Data!P28,Data!S28),"",IF(Data!$C28="Lower is better",100*(MAX(Data!D28,Data!G28,Data!J28,Data!M28,Data!P28,Data!S28)-Data!G28)/(MAX(Data!D28,Data!G28,Data!J28,Data!M28,Data!P28,Data!S28)-MIN(Data!D28,Data!G28,Data!J28,Data!M28,Data!P28,Data!S28)),100*(Data!G28-MIN(Data!D28,Data!G28,Data!J28,Data!M28,Data!P28,Data!S28))/(MAX(Data!D28,Data!G28,Data!J28,Data!M28,Data!P28,Data!S28)-MIN(Data!D28,Data!G28,Data!J28,Data!M28,Data!P28,Data!S28)))))</f>
        <v/>
      </c>
      <c r="E27" s="13">
        <f>IF(COUNT(Data!D28,Data!G28,Data!J28,Data!M28,Data!P28,Data!S28)&lt;6,"",IF(MAX(Data!D28,Data!G28,Data!J28,Data!M28,Data!P28,Data!S28)=MIN(Data!D28,Data!G28,Data!J28,Data!M28,Data!P28,Data!S28),"",IF(Data!$C28="Lower is better",100*(MAX(Data!D28,Data!G28,Data!J28,Data!M28,Data!P28,Data!S28)-Data!J28)/(MAX(Data!D28,Data!G28,Data!J28,Data!M28,Data!P28,Data!S28)-MIN(Data!D28,Data!G28,Data!J28,Data!M28,Data!P28,Data!S28)),100*(Data!J28-MIN(Data!D28,Data!G28,Data!J28,Data!M28,Data!P28,Data!S28))/(MAX(Data!D28,Data!G28,Data!J28,Data!M28,Data!P28,Data!S28)-MIN(Data!D28,Data!G28,Data!J28,Data!M28,Data!P28,Data!S28)))))</f>
        <v/>
      </c>
      <c r="F27" s="13">
        <f>IF(COUNT(Data!D28,Data!G28,Data!J28,Data!M28,Data!P28,Data!S28)&lt;6,"",IF(MAX(Data!D28,Data!G28,Data!J28,Data!M28,Data!P28,Data!S28)=MIN(Data!D28,Data!G28,Data!J28,Data!M28,Data!P28,Data!S28),"",IF(Data!$C28="Lower is better",100*(MAX(Data!D28,Data!G28,Data!J28,Data!M28,Data!P28,Data!S28)-Data!M28)/(MAX(Data!D28,Data!G28,Data!J28,Data!M28,Data!P28,Data!S28)-MIN(Data!D28,Data!G28,Data!J28,Data!M28,Data!P28,Data!S28)),100*(Data!M28-MIN(Data!D28,Data!G28,Data!J28,Data!M28,Data!P28,Data!S28))/(MAX(Data!D28,Data!G28,Data!J28,Data!M28,Data!P28,Data!S28)-MIN(Data!D28,Data!G28,Data!J28,Data!M28,Data!P28,Data!S28)))))</f>
        <v/>
      </c>
      <c r="G27" s="13">
        <f>IF(COUNT(Data!D28,Data!G28,Data!J28,Data!M28,Data!P28,Data!S28)&lt;6,"",IF(MAX(Data!D28,Data!G28,Data!J28,Data!M28,Data!P28,Data!S28)=MIN(Data!D28,Data!G28,Data!J28,Data!M28,Data!P28,Data!S28),"",IF(Data!$C28="Lower is better",100*(MAX(Data!D28,Data!G28,Data!J28,Data!M28,Data!P28,Data!S28)-Data!P28)/(MAX(Data!D28,Data!G28,Data!J28,Data!M28,Data!P28,Data!S28)-MIN(Data!D28,Data!G28,Data!J28,Data!M28,Data!P28,Data!S28)),100*(Data!P28-MIN(Data!D28,Data!G28,Data!J28,Data!M28,Data!P28,Data!S28))/(MAX(Data!D28,Data!G28,Data!J28,Data!M28,Data!P28,Data!S28)-MIN(Data!D28,Data!G28,Data!J28,Data!M28,Data!P28,Data!S28)))))</f>
        <v/>
      </c>
      <c r="H27" s="13">
        <f>IF(COUNT(Data!D28,Data!G28,Data!J28,Data!M28,Data!P28,Data!S28)&lt;6,"",IF(MAX(Data!D28,Data!G28,Data!J28,Data!M28,Data!P28,Data!S28)=MIN(Data!D28,Data!G28,Data!J28,Data!M28,Data!P28,Data!S28),"",IF(Data!$C28="Lower is better",100*(MAX(Data!D28,Data!G28,Data!J28,Data!M28,Data!P28,Data!S28)-Data!S28)/(MAX(Data!D28,Data!G28,Data!J28,Data!M28,Data!P28,Data!S28)-MIN(Data!D28,Data!G28,Data!J28,Data!M28,Data!P28,Data!S28)),100*(Data!S28-MIN(Data!D28,Data!G28,Data!J28,Data!M28,Data!P28,Data!S28))/(MAX(Data!D28,Data!G28,Data!J28,Data!M28,Data!P28,Data!S28)-MIN(Data!D28,Data!G28,Data!J28,Data!M28,Data!P28,Data!S28)))))</f>
        <v/>
      </c>
    </row>
    <row r="28">
      <c r="A28" s="8">
        <f>Indicators!A28</f>
        <v/>
      </c>
      <c r="B28" s="12">
        <f>Indicators!C28</f>
        <v/>
      </c>
      <c r="C28" s="13">
        <f>IF(COUNT(Data!D29,Data!G29,Data!J29,Data!M29,Data!P29,Data!S29)&lt;6,"",IF(MAX(Data!D29,Data!G29,Data!J29,Data!M29,Data!P29,Data!S29)=MIN(Data!D29,Data!G29,Data!J29,Data!M29,Data!P29,Data!S29),"",IF(Data!$C29="Lower is better",100*(MAX(Data!D29,Data!G29,Data!J29,Data!M29,Data!P29,Data!S29)-Data!D29)/(MAX(Data!D29,Data!G29,Data!J29,Data!M29,Data!P29,Data!S29)-MIN(Data!D29,Data!G29,Data!J29,Data!M29,Data!P29,Data!S29)),100*(Data!D29-MIN(Data!D29,Data!G29,Data!J29,Data!M29,Data!P29,Data!S29))/(MAX(Data!D29,Data!G29,Data!J29,Data!M29,Data!P29,Data!S29)-MIN(Data!D29,Data!G29,Data!J29,Data!M29,Data!P29,Data!S29)))))</f>
        <v/>
      </c>
      <c r="D28" s="13">
        <f>IF(COUNT(Data!D29,Data!G29,Data!J29,Data!M29,Data!P29,Data!S29)&lt;6,"",IF(MAX(Data!D29,Data!G29,Data!J29,Data!M29,Data!P29,Data!S29)=MIN(Data!D29,Data!G29,Data!J29,Data!M29,Data!P29,Data!S29),"",IF(Data!$C29="Lower is better",100*(MAX(Data!D29,Data!G29,Data!J29,Data!M29,Data!P29,Data!S29)-Data!G29)/(MAX(Data!D29,Data!G29,Data!J29,Data!M29,Data!P29,Data!S29)-MIN(Data!D29,Data!G29,Data!J29,Data!M29,Data!P29,Data!S29)),100*(Data!G29-MIN(Data!D29,Data!G29,Data!J29,Data!M29,Data!P29,Data!S29))/(MAX(Data!D29,Data!G29,Data!J29,Data!M29,Data!P29,Data!S29)-MIN(Data!D29,Data!G29,Data!J29,Data!M29,Data!P29,Data!S29)))))</f>
        <v/>
      </c>
      <c r="E28" s="13">
        <f>IF(COUNT(Data!D29,Data!G29,Data!J29,Data!M29,Data!P29,Data!S29)&lt;6,"",IF(MAX(Data!D29,Data!G29,Data!J29,Data!M29,Data!P29,Data!S29)=MIN(Data!D29,Data!G29,Data!J29,Data!M29,Data!P29,Data!S29),"",IF(Data!$C29="Lower is better",100*(MAX(Data!D29,Data!G29,Data!J29,Data!M29,Data!P29,Data!S29)-Data!J29)/(MAX(Data!D29,Data!G29,Data!J29,Data!M29,Data!P29,Data!S29)-MIN(Data!D29,Data!G29,Data!J29,Data!M29,Data!P29,Data!S29)),100*(Data!J29-MIN(Data!D29,Data!G29,Data!J29,Data!M29,Data!P29,Data!S29))/(MAX(Data!D29,Data!G29,Data!J29,Data!M29,Data!P29,Data!S29)-MIN(Data!D29,Data!G29,Data!J29,Data!M29,Data!P29,Data!S29)))))</f>
        <v/>
      </c>
      <c r="F28" s="13">
        <f>IF(COUNT(Data!D29,Data!G29,Data!J29,Data!M29,Data!P29,Data!S29)&lt;6,"",IF(MAX(Data!D29,Data!G29,Data!J29,Data!M29,Data!P29,Data!S29)=MIN(Data!D29,Data!G29,Data!J29,Data!M29,Data!P29,Data!S29),"",IF(Data!$C29="Lower is better",100*(MAX(Data!D29,Data!G29,Data!J29,Data!M29,Data!P29,Data!S29)-Data!M29)/(MAX(Data!D29,Data!G29,Data!J29,Data!M29,Data!P29,Data!S29)-MIN(Data!D29,Data!G29,Data!J29,Data!M29,Data!P29,Data!S29)),100*(Data!M29-MIN(Data!D29,Data!G29,Data!J29,Data!M29,Data!P29,Data!S29))/(MAX(Data!D29,Data!G29,Data!J29,Data!M29,Data!P29,Data!S29)-MIN(Data!D29,Data!G29,Data!J29,Data!M29,Data!P29,Data!S29)))))</f>
        <v/>
      </c>
      <c r="G28" s="13">
        <f>IF(COUNT(Data!D29,Data!G29,Data!J29,Data!M29,Data!P29,Data!S29)&lt;6,"",IF(MAX(Data!D29,Data!G29,Data!J29,Data!M29,Data!P29,Data!S29)=MIN(Data!D29,Data!G29,Data!J29,Data!M29,Data!P29,Data!S29),"",IF(Data!$C29="Lower is better",100*(MAX(Data!D29,Data!G29,Data!J29,Data!M29,Data!P29,Data!S29)-Data!P29)/(MAX(Data!D29,Data!G29,Data!J29,Data!M29,Data!P29,Data!S29)-MIN(Data!D29,Data!G29,Data!J29,Data!M29,Data!P29,Data!S29)),100*(Data!P29-MIN(Data!D29,Data!G29,Data!J29,Data!M29,Data!P29,Data!S29))/(MAX(Data!D29,Data!G29,Data!J29,Data!M29,Data!P29,Data!S29)-MIN(Data!D29,Data!G29,Data!J29,Data!M29,Data!P29,Data!S29)))))</f>
        <v/>
      </c>
      <c r="H28" s="13">
        <f>IF(COUNT(Data!D29,Data!G29,Data!J29,Data!M29,Data!P29,Data!S29)&lt;6,"",IF(MAX(Data!D29,Data!G29,Data!J29,Data!M29,Data!P29,Data!S29)=MIN(Data!D29,Data!G29,Data!J29,Data!M29,Data!P29,Data!S29),"",IF(Data!$C29="Lower is better",100*(MAX(Data!D29,Data!G29,Data!J29,Data!M29,Data!P29,Data!S29)-Data!S29)/(MAX(Data!D29,Data!G29,Data!J29,Data!M29,Data!P29,Data!S29)-MIN(Data!D29,Data!G29,Data!J29,Data!M29,Data!P29,Data!S29)),100*(Data!S29-MIN(Data!D29,Data!G29,Data!J29,Data!M29,Data!P29,Data!S29))/(MAX(Data!D29,Data!G29,Data!J29,Data!M29,Data!P29,Data!S29)-MIN(Data!D29,Data!G29,Data!J29,Data!M29,Data!P29,Data!S29)))))</f>
        <v/>
      </c>
    </row>
    <row r="29">
      <c r="A29" s="8">
        <f>Indicators!A29</f>
        <v/>
      </c>
      <c r="B29" s="12">
        <f>Indicators!C29</f>
        <v/>
      </c>
      <c r="C29" s="13">
        <f>IF(COUNT(Data!D30,Data!G30,Data!J30,Data!M30,Data!P30,Data!S30)&lt;6,"",IF(MAX(Data!D30,Data!G30,Data!J30,Data!M30,Data!P30,Data!S30)=MIN(Data!D30,Data!G30,Data!J30,Data!M30,Data!P30,Data!S30),"",IF(Data!$C30="Lower is better",100*(MAX(Data!D30,Data!G30,Data!J30,Data!M30,Data!P30,Data!S30)-Data!D30)/(MAX(Data!D30,Data!G30,Data!J30,Data!M30,Data!P30,Data!S30)-MIN(Data!D30,Data!G30,Data!J30,Data!M30,Data!P30,Data!S30)),100*(Data!D30-MIN(Data!D30,Data!G30,Data!J30,Data!M30,Data!P30,Data!S30))/(MAX(Data!D30,Data!G30,Data!J30,Data!M30,Data!P30,Data!S30)-MIN(Data!D30,Data!G30,Data!J30,Data!M30,Data!P30,Data!S30)))))</f>
        <v/>
      </c>
      <c r="D29" s="13">
        <f>IF(COUNT(Data!D30,Data!G30,Data!J30,Data!M30,Data!P30,Data!S30)&lt;6,"",IF(MAX(Data!D30,Data!G30,Data!J30,Data!M30,Data!P30,Data!S30)=MIN(Data!D30,Data!G30,Data!J30,Data!M30,Data!P30,Data!S30),"",IF(Data!$C30="Lower is better",100*(MAX(Data!D30,Data!G30,Data!J30,Data!M30,Data!P30,Data!S30)-Data!G30)/(MAX(Data!D30,Data!G30,Data!J30,Data!M30,Data!P30,Data!S30)-MIN(Data!D30,Data!G30,Data!J30,Data!M30,Data!P30,Data!S30)),100*(Data!G30-MIN(Data!D30,Data!G30,Data!J30,Data!M30,Data!P30,Data!S30))/(MAX(Data!D30,Data!G30,Data!J30,Data!M30,Data!P30,Data!S30)-MIN(Data!D30,Data!G30,Data!J30,Data!M30,Data!P30,Data!S30)))))</f>
        <v/>
      </c>
      <c r="E29" s="13">
        <f>IF(COUNT(Data!D30,Data!G30,Data!J30,Data!M30,Data!P30,Data!S30)&lt;6,"",IF(MAX(Data!D30,Data!G30,Data!J30,Data!M30,Data!P30,Data!S30)=MIN(Data!D30,Data!G30,Data!J30,Data!M30,Data!P30,Data!S30),"",IF(Data!$C30="Lower is better",100*(MAX(Data!D30,Data!G30,Data!J30,Data!M30,Data!P30,Data!S30)-Data!J30)/(MAX(Data!D30,Data!G30,Data!J30,Data!M30,Data!P30,Data!S30)-MIN(Data!D30,Data!G30,Data!J30,Data!M30,Data!P30,Data!S30)),100*(Data!J30-MIN(Data!D30,Data!G30,Data!J30,Data!M30,Data!P30,Data!S30))/(MAX(Data!D30,Data!G30,Data!J30,Data!M30,Data!P30,Data!S30)-MIN(Data!D30,Data!G30,Data!J30,Data!M30,Data!P30,Data!S30)))))</f>
        <v/>
      </c>
      <c r="F29" s="13">
        <f>IF(COUNT(Data!D30,Data!G30,Data!J30,Data!M30,Data!P30,Data!S30)&lt;6,"",IF(MAX(Data!D30,Data!G30,Data!J30,Data!M30,Data!P30,Data!S30)=MIN(Data!D30,Data!G30,Data!J30,Data!M30,Data!P30,Data!S30),"",IF(Data!$C30="Lower is better",100*(MAX(Data!D30,Data!G30,Data!J30,Data!M30,Data!P30,Data!S30)-Data!M30)/(MAX(Data!D30,Data!G30,Data!J30,Data!M30,Data!P30,Data!S30)-MIN(Data!D30,Data!G30,Data!J30,Data!M30,Data!P30,Data!S30)),100*(Data!M30-MIN(Data!D30,Data!G30,Data!J30,Data!M30,Data!P30,Data!S30))/(MAX(Data!D30,Data!G30,Data!J30,Data!M30,Data!P30,Data!S30)-MIN(Data!D30,Data!G30,Data!J30,Data!M30,Data!P30,Data!S30)))))</f>
        <v/>
      </c>
      <c r="G29" s="13">
        <f>IF(COUNT(Data!D30,Data!G30,Data!J30,Data!M30,Data!P30,Data!S30)&lt;6,"",IF(MAX(Data!D30,Data!G30,Data!J30,Data!M30,Data!P30,Data!S30)=MIN(Data!D30,Data!G30,Data!J30,Data!M30,Data!P30,Data!S30),"",IF(Data!$C30="Lower is better",100*(MAX(Data!D30,Data!G30,Data!J30,Data!M30,Data!P30,Data!S30)-Data!P30)/(MAX(Data!D30,Data!G30,Data!J30,Data!M30,Data!P30,Data!S30)-MIN(Data!D30,Data!G30,Data!J30,Data!M30,Data!P30,Data!S30)),100*(Data!P30-MIN(Data!D30,Data!G30,Data!J30,Data!M30,Data!P30,Data!S30))/(MAX(Data!D30,Data!G30,Data!J30,Data!M30,Data!P30,Data!S30)-MIN(Data!D30,Data!G30,Data!J30,Data!M30,Data!P30,Data!S30)))))</f>
        <v/>
      </c>
      <c r="H29" s="13">
        <f>IF(COUNT(Data!D30,Data!G30,Data!J30,Data!M30,Data!P30,Data!S30)&lt;6,"",IF(MAX(Data!D30,Data!G30,Data!J30,Data!M30,Data!P30,Data!S30)=MIN(Data!D30,Data!G30,Data!J30,Data!M30,Data!P30,Data!S30),"",IF(Data!$C30="Lower is better",100*(MAX(Data!D30,Data!G30,Data!J30,Data!M30,Data!P30,Data!S30)-Data!S30)/(MAX(Data!D30,Data!G30,Data!J30,Data!M30,Data!P30,Data!S30)-MIN(Data!D30,Data!G30,Data!J30,Data!M30,Data!P30,Data!S30)),100*(Data!S30-MIN(Data!D30,Data!G30,Data!J30,Data!M30,Data!P30,Data!S30))/(MAX(Data!D30,Data!G30,Data!J30,Data!M30,Data!P30,Data!S30)-MIN(Data!D30,Data!G30,Data!J30,Data!M30,Data!P30,Data!S30)))))</f>
        <v/>
      </c>
    </row>
    <row r="30">
      <c r="A30" s="8">
        <f>Indicators!A30</f>
        <v/>
      </c>
      <c r="B30" s="12">
        <f>Indicators!C30</f>
        <v/>
      </c>
      <c r="C30" s="13">
        <f>IF(COUNT(Data!D31,Data!G31,Data!J31,Data!M31,Data!P31,Data!S31)&lt;6,"",IF(MAX(Data!D31,Data!G31,Data!J31,Data!M31,Data!P31,Data!S31)=MIN(Data!D31,Data!G31,Data!J31,Data!M31,Data!P31,Data!S31),"",IF(Data!$C31="Lower is better",100*(MAX(Data!D31,Data!G31,Data!J31,Data!M31,Data!P31,Data!S31)-Data!D31)/(MAX(Data!D31,Data!G31,Data!J31,Data!M31,Data!P31,Data!S31)-MIN(Data!D31,Data!G31,Data!J31,Data!M31,Data!P31,Data!S31)),100*(Data!D31-MIN(Data!D31,Data!G31,Data!J31,Data!M31,Data!P31,Data!S31))/(MAX(Data!D31,Data!G31,Data!J31,Data!M31,Data!P31,Data!S31)-MIN(Data!D31,Data!G31,Data!J31,Data!M31,Data!P31,Data!S31)))))</f>
        <v/>
      </c>
      <c r="D30" s="13">
        <f>IF(COUNT(Data!D31,Data!G31,Data!J31,Data!M31,Data!P31,Data!S31)&lt;6,"",IF(MAX(Data!D31,Data!G31,Data!J31,Data!M31,Data!P31,Data!S31)=MIN(Data!D31,Data!G31,Data!J31,Data!M31,Data!P31,Data!S31),"",IF(Data!$C31="Lower is better",100*(MAX(Data!D31,Data!G31,Data!J31,Data!M31,Data!P31,Data!S31)-Data!G31)/(MAX(Data!D31,Data!G31,Data!J31,Data!M31,Data!P31,Data!S31)-MIN(Data!D31,Data!G31,Data!J31,Data!M31,Data!P31,Data!S31)),100*(Data!G31-MIN(Data!D31,Data!G31,Data!J31,Data!M31,Data!P31,Data!S31))/(MAX(Data!D31,Data!G31,Data!J31,Data!M31,Data!P31,Data!S31)-MIN(Data!D31,Data!G31,Data!J31,Data!M31,Data!P31,Data!S31)))))</f>
        <v/>
      </c>
      <c r="E30" s="13">
        <f>IF(COUNT(Data!D31,Data!G31,Data!J31,Data!M31,Data!P31,Data!S31)&lt;6,"",IF(MAX(Data!D31,Data!G31,Data!J31,Data!M31,Data!P31,Data!S31)=MIN(Data!D31,Data!G31,Data!J31,Data!M31,Data!P31,Data!S31),"",IF(Data!$C31="Lower is better",100*(MAX(Data!D31,Data!G31,Data!J31,Data!M31,Data!P31,Data!S31)-Data!J31)/(MAX(Data!D31,Data!G31,Data!J31,Data!M31,Data!P31,Data!S31)-MIN(Data!D31,Data!G31,Data!J31,Data!M31,Data!P31,Data!S31)),100*(Data!J31-MIN(Data!D31,Data!G31,Data!J31,Data!M31,Data!P31,Data!S31))/(MAX(Data!D31,Data!G31,Data!J31,Data!M31,Data!P31,Data!S31)-MIN(Data!D31,Data!G31,Data!J31,Data!M31,Data!P31,Data!S31)))))</f>
        <v/>
      </c>
      <c r="F30" s="13">
        <f>IF(COUNT(Data!D31,Data!G31,Data!J31,Data!M31,Data!P31,Data!S31)&lt;6,"",IF(MAX(Data!D31,Data!G31,Data!J31,Data!M31,Data!P31,Data!S31)=MIN(Data!D31,Data!G31,Data!J31,Data!M31,Data!P31,Data!S31),"",IF(Data!$C31="Lower is better",100*(MAX(Data!D31,Data!G31,Data!J31,Data!M31,Data!P31,Data!S31)-Data!M31)/(MAX(Data!D31,Data!G31,Data!J31,Data!M31,Data!P31,Data!S31)-MIN(Data!D31,Data!G31,Data!J31,Data!M31,Data!P31,Data!S31)),100*(Data!M31-MIN(Data!D31,Data!G31,Data!J31,Data!M31,Data!P31,Data!S31))/(MAX(Data!D31,Data!G31,Data!J31,Data!M31,Data!P31,Data!S31)-MIN(Data!D31,Data!G31,Data!J31,Data!M31,Data!P31,Data!S31)))))</f>
        <v/>
      </c>
      <c r="G30" s="13">
        <f>IF(COUNT(Data!D31,Data!G31,Data!J31,Data!M31,Data!P31,Data!S31)&lt;6,"",IF(MAX(Data!D31,Data!G31,Data!J31,Data!M31,Data!P31,Data!S31)=MIN(Data!D31,Data!G31,Data!J31,Data!M31,Data!P31,Data!S31),"",IF(Data!$C31="Lower is better",100*(MAX(Data!D31,Data!G31,Data!J31,Data!M31,Data!P31,Data!S31)-Data!P31)/(MAX(Data!D31,Data!G31,Data!J31,Data!M31,Data!P31,Data!S31)-MIN(Data!D31,Data!G31,Data!J31,Data!M31,Data!P31,Data!S31)),100*(Data!P31-MIN(Data!D31,Data!G31,Data!J31,Data!M31,Data!P31,Data!S31))/(MAX(Data!D31,Data!G31,Data!J31,Data!M31,Data!P31,Data!S31)-MIN(Data!D31,Data!G31,Data!J31,Data!M31,Data!P31,Data!S31)))))</f>
        <v/>
      </c>
      <c r="H30" s="13">
        <f>IF(COUNT(Data!D31,Data!G31,Data!J31,Data!M31,Data!P31,Data!S31)&lt;6,"",IF(MAX(Data!D31,Data!G31,Data!J31,Data!M31,Data!P31,Data!S31)=MIN(Data!D31,Data!G31,Data!J31,Data!M31,Data!P31,Data!S31),"",IF(Data!$C31="Lower is better",100*(MAX(Data!D31,Data!G31,Data!J31,Data!M31,Data!P31,Data!S31)-Data!S31)/(MAX(Data!D31,Data!G31,Data!J31,Data!M31,Data!P31,Data!S31)-MIN(Data!D31,Data!G31,Data!J31,Data!M31,Data!P31,Data!S31)),100*(Data!S31-MIN(Data!D31,Data!G31,Data!J31,Data!M31,Data!P31,Data!S31))/(MAX(Data!D31,Data!G31,Data!J31,Data!M31,Data!P31,Data!S31)-MIN(Data!D31,Data!G31,Data!J31,Data!M31,Data!P31,Data!S31)))))</f>
        <v/>
      </c>
    </row>
    <row r="31">
      <c r="A31" s="8">
        <f>Indicators!A31</f>
        <v/>
      </c>
      <c r="B31" s="12">
        <f>Indicators!C31</f>
        <v/>
      </c>
      <c r="C31" s="13">
        <f>IF(COUNT(Data!D32,Data!G32,Data!J32,Data!M32,Data!P32,Data!S32)&lt;6,"",IF(MAX(Data!D32,Data!G32,Data!J32,Data!M32,Data!P32,Data!S32)=MIN(Data!D32,Data!G32,Data!J32,Data!M32,Data!P32,Data!S32),"",IF(Data!$C32="Lower is better",100*(MAX(Data!D32,Data!G32,Data!J32,Data!M32,Data!P32,Data!S32)-Data!D32)/(MAX(Data!D32,Data!G32,Data!J32,Data!M32,Data!P32,Data!S32)-MIN(Data!D32,Data!G32,Data!J32,Data!M32,Data!P32,Data!S32)),100*(Data!D32-MIN(Data!D32,Data!G32,Data!J32,Data!M32,Data!P32,Data!S32))/(MAX(Data!D32,Data!G32,Data!J32,Data!M32,Data!P32,Data!S32)-MIN(Data!D32,Data!G32,Data!J32,Data!M32,Data!P32,Data!S32)))))</f>
        <v/>
      </c>
      <c r="D31" s="13">
        <f>IF(COUNT(Data!D32,Data!G32,Data!J32,Data!M32,Data!P32,Data!S32)&lt;6,"",IF(MAX(Data!D32,Data!G32,Data!J32,Data!M32,Data!P32,Data!S32)=MIN(Data!D32,Data!G32,Data!J32,Data!M32,Data!P32,Data!S32),"",IF(Data!$C32="Lower is better",100*(MAX(Data!D32,Data!G32,Data!J32,Data!M32,Data!P32,Data!S32)-Data!G32)/(MAX(Data!D32,Data!G32,Data!J32,Data!M32,Data!P32,Data!S32)-MIN(Data!D32,Data!G32,Data!J32,Data!M32,Data!P32,Data!S32)),100*(Data!G32-MIN(Data!D32,Data!G32,Data!J32,Data!M32,Data!P32,Data!S32))/(MAX(Data!D32,Data!G32,Data!J32,Data!M32,Data!P32,Data!S32)-MIN(Data!D32,Data!G32,Data!J32,Data!M32,Data!P32,Data!S32)))))</f>
        <v/>
      </c>
      <c r="E31" s="13">
        <f>IF(COUNT(Data!D32,Data!G32,Data!J32,Data!M32,Data!P32,Data!S32)&lt;6,"",IF(MAX(Data!D32,Data!G32,Data!J32,Data!M32,Data!P32,Data!S32)=MIN(Data!D32,Data!G32,Data!J32,Data!M32,Data!P32,Data!S32),"",IF(Data!$C32="Lower is better",100*(MAX(Data!D32,Data!G32,Data!J32,Data!M32,Data!P32,Data!S32)-Data!J32)/(MAX(Data!D32,Data!G32,Data!J32,Data!M32,Data!P32,Data!S32)-MIN(Data!D32,Data!G32,Data!J32,Data!M32,Data!P32,Data!S32)),100*(Data!J32-MIN(Data!D32,Data!G32,Data!J32,Data!M32,Data!P32,Data!S32))/(MAX(Data!D32,Data!G32,Data!J32,Data!M32,Data!P32,Data!S32)-MIN(Data!D32,Data!G32,Data!J32,Data!M32,Data!P32,Data!S32)))))</f>
        <v/>
      </c>
      <c r="F31" s="13">
        <f>IF(COUNT(Data!D32,Data!G32,Data!J32,Data!M32,Data!P32,Data!S32)&lt;6,"",IF(MAX(Data!D32,Data!G32,Data!J32,Data!M32,Data!P32,Data!S32)=MIN(Data!D32,Data!G32,Data!J32,Data!M32,Data!P32,Data!S32),"",IF(Data!$C32="Lower is better",100*(MAX(Data!D32,Data!G32,Data!J32,Data!M32,Data!P32,Data!S32)-Data!M32)/(MAX(Data!D32,Data!G32,Data!J32,Data!M32,Data!P32,Data!S32)-MIN(Data!D32,Data!G32,Data!J32,Data!M32,Data!P32,Data!S32)),100*(Data!M32-MIN(Data!D32,Data!G32,Data!J32,Data!M32,Data!P32,Data!S32))/(MAX(Data!D32,Data!G32,Data!J32,Data!M32,Data!P32,Data!S32)-MIN(Data!D32,Data!G32,Data!J32,Data!M32,Data!P32,Data!S32)))))</f>
        <v/>
      </c>
      <c r="G31" s="13">
        <f>IF(COUNT(Data!D32,Data!G32,Data!J32,Data!M32,Data!P32,Data!S32)&lt;6,"",IF(MAX(Data!D32,Data!G32,Data!J32,Data!M32,Data!P32,Data!S32)=MIN(Data!D32,Data!G32,Data!J32,Data!M32,Data!P32,Data!S32),"",IF(Data!$C32="Lower is better",100*(MAX(Data!D32,Data!G32,Data!J32,Data!M32,Data!P32,Data!S32)-Data!P32)/(MAX(Data!D32,Data!G32,Data!J32,Data!M32,Data!P32,Data!S32)-MIN(Data!D32,Data!G32,Data!J32,Data!M32,Data!P32,Data!S32)),100*(Data!P32-MIN(Data!D32,Data!G32,Data!J32,Data!M32,Data!P32,Data!S32))/(MAX(Data!D32,Data!G32,Data!J32,Data!M32,Data!P32,Data!S32)-MIN(Data!D32,Data!G32,Data!J32,Data!M32,Data!P32,Data!S32)))))</f>
        <v/>
      </c>
      <c r="H31" s="13">
        <f>IF(COUNT(Data!D32,Data!G32,Data!J32,Data!M32,Data!P32,Data!S32)&lt;6,"",IF(MAX(Data!D32,Data!G32,Data!J32,Data!M32,Data!P32,Data!S32)=MIN(Data!D32,Data!G32,Data!J32,Data!M32,Data!P32,Data!S32),"",IF(Data!$C32="Lower is better",100*(MAX(Data!D32,Data!G32,Data!J32,Data!M32,Data!P32,Data!S32)-Data!S32)/(MAX(Data!D32,Data!G32,Data!J32,Data!M32,Data!P32,Data!S32)-MIN(Data!D32,Data!G32,Data!J32,Data!M32,Data!P32,Data!S32)),100*(Data!S32-MIN(Data!D32,Data!G32,Data!J32,Data!M32,Data!P32,Data!S32))/(MAX(Data!D32,Data!G32,Data!J32,Data!M32,Data!P32,Data!S32)-MIN(Data!D32,Data!G32,Data!J32,Data!M32,Data!P32,Data!S32)))))</f>
        <v/>
      </c>
    </row>
    <row r="32">
      <c r="A32" s="8">
        <f>Indicators!A32</f>
        <v/>
      </c>
      <c r="B32" s="12">
        <f>Indicators!C32</f>
        <v/>
      </c>
      <c r="C32" s="13">
        <f>IF(COUNT(Data!D33,Data!G33,Data!J33,Data!M33,Data!P33,Data!S33)&lt;6,"",IF(MAX(Data!D33,Data!G33,Data!J33,Data!M33,Data!P33,Data!S33)=MIN(Data!D33,Data!G33,Data!J33,Data!M33,Data!P33,Data!S33),"",IF(Data!$C33="Lower is better",100*(MAX(Data!D33,Data!G33,Data!J33,Data!M33,Data!P33,Data!S33)-Data!D33)/(MAX(Data!D33,Data!G33,Data!J33,Data!M33,Data!P33,Data!S33)-MIN(Data!D33,Data!G33,Data!J33,Data!M33,Data!P33,Data!S33)),100*(Data!D33-MIN(Data!D33,Data!G33,Data!J33,Data!M33,Data!P33,Data!S33))/(MAX(Data!D33,Data!G33,Data!J33,Data!M33,Data!P33,Data!S33)-MIN(Data!D33,Data!G33,Data!J33,Data!M33,Data!P33,Data!S33)))))</f>
        <v/>
      </c>
      <c r="D32" s="13">
        <f>IF(COUNT(Data!D33,Data!G33,Data!J33,Data!M33,Data!P33,Data!S33)&lt;6,"",IF(MAX(Data!D33,Data!G33,Data!J33,Data!M33,Data!P33,Data!S33)=MIN(Data!D33,Data!G33,Data!J33,Data!M33,Data!P33,Data!S33),"",IF(Data!$C33="Lower is better",100*(MAX(Data!D33,Data!G33,Data!J33,Data!M33,Data!P33,Data!S33)-Data!G33)/(MAX(Data!D33,Data!G33,Data!J33,Data!M33,Data!P33,Data!S33)-MIN(Data!D33,Data!G33,Data!J33,Data!M33,Data!P33,Data!S33)),100*(Data!G33-MIN(Data!D33,Data!G33,Data!J33,Data!M33,Data!P33,Data!S33))/(MAX(Data!D33,Data!G33,Data!J33,Data!M33,Data!P33,Data!S33)-MIN(Data!D33,Data!G33,Data!J33,Data!M33,Data!P33,Data!S33)))))</f>
        <v/>
      </c>
      <c r="E32" s="13">
        <f>IF(COUNT(Data!D33,Data!G33,Data!J33,Data!M33,Data!P33,Data!S33)&lt;6,"",IF(MAX(Data!D33,Data!G33,Data!J33,Data!M33,Data!P33,Data!S33)=MIN(Data!D33,Data!G33,Data!J33,Data!M33,Data!P33,Data!S33),"",IF(Data!$C33="Lower is better",100*(MAX(Data!D33,Data!G33,Data!J33,Data!M33,Data!P33,Data!S33)-Data!J33)/(MAX(Data!D33,Data!G33,Data!J33,Data!M33,Data!P33,Data!S33)-MIN(Data!D33,Data!G33,Data!J33,Data!M33,Data!P33,Data!S33)),100*(Data!J33-MIN(Data!D33,Data!G33,Data!J33,Data!M33,Data!P33,Data!S33))/(MAX(Data!D33,Data!G33,Data!J33,Data!M33,Data!P33,Data!S33)-MIN(Data!D33,Data!G33,Data!J33,Data!M33,Data!P33,Data!S33)))))</f>
        <v/>
      </c>
      <c r="F32" s="13">
        <f>IF(COUNT(Data!D33,Data!G33,Data!J33,Data!M33,Data!P33,Data!S33)&lt;6,"",IF(MAX(Data!D33,Data!G33,Data!J33,Data!M33,Data!P33,Data!S33)=MIN(Data!D33,Data!G33,Data!J33,Data!M33,Data!P33,Data!S33),"",IF(Data!$C33="Lower is better",100*(MAX(Data!D33,Data!G33,Data!J33,Data!M33,Data!P33,Data!S33)-Data!M33)/(MAX(Data!D33,Data!G33,Data!J33,Data!M33,Data!P33,Data!S33)-MIN(Data!D33,Data!G33,Data!J33,Data!M33,Data!P33,Data!S33)),100*(Data!M33-MIN(Data!D33,Data!G33,Data!J33,Data!M33,Data!P33,Data!S33))/(MAX(Data!D33,Data!G33,Data!J33,Data!M33,Data!P33,Data!S33)-MIN(Data!D33,Data!G33,Data!J33,Data!M33,Data!P33,Data!S33)))))</f>
        <v/>
      </c>
      <c r="G32" s="13">
        <f>IF(COUNT(Data!D33,Data!G33,Data!J33,Data!M33,Data!P33,Data!S33)&lt;6,"",IF(MAX(Data!D33,Data!G33,Data!J33,Data!M33,Data!P33,Data!S33)=MIN(Data!D33,Data!G33,Data!J33,Data!M33,Data!P33,Data!S33),"",IF(Data!$C33="Lower is better",100*(MAX(Data!D33,Data!G33,Data!J33,Data!M33,Data!P33,Data!S33)-Data!P33)/(MAX(Data!D33,Data!G33,Data!J33,Data!M33,Data!P33,Data!S33)-MIN(Data!D33,Data!G33,Data!J33,Data!M33,Data!P33,Data!S33)),100*(Data!P33-MIN(Data!D33,Data!G33,Data!J33,Data!M33,Data!P33,Data!S33))/(MAX(Data!D33,Data!G33,Data!J33,Data!M33,Data!P33,Data!S33)-MIN(Data!D33,Data!G33,Data!J33,Data!M33,Data!P33,Data!S33)))))</f>
        <v/>
      </c>
      <c r="H32" s="13">
        <f>IF(COUNT(Data!D33,Data!G33,Data!J33,Data!M33,Data!P33,Data!S33)&lt;6,"",IF(MAX(Data!D33,Data!G33,Data!J33,Data!M33,Data!P33,Data!S33)=MIN(Data!D33,Data!G33,Data!J33,Data!M33,Data!P33,Data!S33),"",IF(Data!$C33="Lower is better",100*(MAX(Data!D33,Data!G33,Data!J33,Data!M33,Data!P33,Data!S33)-Data!S33)/(MAX(Data!D33,Data!G33,Data!J33,Data!M33,Data!P33,Data!S33)-MIN(Data!D33,Data!G33,Data!J33,Data!M33,Data!P33,Data!S33)),100*(Data!S33-MIN(Data!D33,Data!G33,Data!J33,Data!M33,Data!P33,Data!S33))/(MAX(Data!D33,Data!G33,Data!J33,Data!M33,Data!P33,Data!S33)-MIN(Data!D33,Data!G33,Data!J33,Data!M33,Data!P33,Data!S33)))))</f>
        <v/>
      </c>
    </row>
    <row r="33">
      <c r="A33" s="8">
        <f>Indicators!A33</f>
        <v/>
      </c>
      <c r="B33" s="12">
        <f>Indicators!C33</f>
        <v/>
      </c>
      <c r="C33" s="13">
        <f>IF(COUNT(Data!D34,Data!G34,Data!J34,Data!M34,Data!P34,Data!S34)&lt;6,"",IF(MAX(Data!D34,Data!G34,Data!J34,Data!M34,Data!P34,Data!S34)=MIN(Data!D34,Data!G34,Data!J34,Data!M34,Data!P34,Data!S34),"",IF(Data!$C34="Lower is better",100*(MAX(Data!D34,Data!G34,Data!J34,Data!M34,Data!P34,Data!S34)-Data!D34)/(MAX(Data!D34,Data!G34,Data!J34,Data!M34,Data!P34,Data!S34)-MIN(Data!D34,Data!G34,Data!J34,Data!M34,Data!P34,Data!S34)),100*(Data!D34-MIN(Data!D34,Data!G34,Data!J34,Data!M34,Data!P34,Data!S34))/(MAX(Data!D34,Data!G34,Data!J34,Data!M34,Data!P34,Data!S34)-MIN(Data!D34,Data!G34,Data!J34,Data!M34,Data!P34,Data!S34)))))</f>
        <v/>
      </c>
      <c r="D33" s="13">
        <f>IF(COUNT(Data!D34,Data!G34,Data!J34,Data!M34,Data!P34,Data!S34)&lt;6,"",IF(MAX(Data!D34,Data!G34,Data!J34,Data!M34,Data!P34,Data!S34)=MIN(Data!D34,Data!G34,Data!J34,Data!M34,Data!P34,Data!S34),"",IF(Data!$C34="Lower is better",100*(MAX(Data!D34,Data!G34,Data!J34,Data!M34,Data!P34,Data!S34)-Data!G34)/(MAX(Data!D34,Data!G34,Data!J34,Data!M34,Data!P34,Data!S34)-MIN(Data!D34,Data!G34,Data!J34,Data!M34,Data!P34,Data!S34)),100*(Data!G34-MIN(Data!D34,Data!G34,Data!J34,Data!M34,Data!P34,Data!S34))/(MAX(Data!D34,Data!G34,Data!J34,Data!M34,Data!P34,Data!S34)-MIN(Data!D34,Data!G34,Data!J34,Data!M34,Data!P34,Data!S34)))))</f>
        <v/>
      </c>
      <c r="E33" s="13">
        <f>IF(COUNT(Data!D34,Data!G34,Data!J34,Data!M34,Data!P34,Data!S34)&lt;6,"",IF(MAX(Data!D34,Data!G34,Data!J34,Data!M34,Data!P34,Data!S34)=MIN(Data!D34,Data!G34,Data!J34,Data!M34,Data!P34,Data!S34),"",IF(Data!$C34="Lower is better",100*(MAX(Data!D34,Data!G34,Data!J34,Data!M34,Data!P34,Data!S34)-Data!J34)/(MAX(Data!D34,Data!G34,Data!J34,Data!M34,Data!P34,Data!S34)-MIN(Data!D34,Data!G34,Data!J34,Data!M34,Data!P34,Data!S34)),100*(Data!J34-MIN(Data!D34,Data!G34,Data!J34,Data!M34,Data!P34,Data!S34))/(MAX(Data!D34,Data!G34,Data!J34,Data!M34,Data!P34,Data!S34)-MIN(Data!D34,Data!G34,Data!J34,Data!M34,Data!P34,Data!S34)))))</f>
        <v/>
      </c>
      <c r="F33" s="13">
        <f>IF(COUNT(Data!D34,Data!G34,Data!J34,Data!M34,Data!P34,Data!S34)&lt;6,"",IF(MAX(Data!D34,Data!G34,Data!J34,Data!M34,Data!P34,Data!S34)=MIN(Data!D34,Data!G34,Data!J34,Data!M34,Data!P34,Data!S34),"",IF(Data!$C34="Lower is better",100*(MAX(Data!D34,Data!G34,Data!J34,Data!M34,Data!P34,Data!S34)-Data!M34)/(MAX(Data!D34,Data!G34,Data!J34,Data!M34,Data!P34,Data!S34)-MIN(Data!D34,Data!G34,Data!J34,Data!M34,Data!P34,Data!S34)),100*(Data!M34-MIN(Data!D34,Data!G34,Data!J34,Data!M34,Data!P34,Data!S34))/(MAX(Data!D34,Data!G34,Data!J34,Data!M34,Data!P34,Data!S34)-MIN(Data!D34,Data!G34,Data!J34,Data!M34,Data!P34,Data!S34)))))</f>
        <v/>
      </c>
      <c r="G33" s="13">
        <f>IF(COUNT(Data!D34,Data!G34,Data!J34,Data!M34,Data!P34,Data!S34)&lt;6,"",IF(MAX(Data!D34,Data!G34,Data!J34,Data!M34,Data!P34,Data!S34)=MIN(Data!D34,Data!G34,Data!J34,Data!M34,Data!P34,Data!S34),"",IF(Data!$C34="Lower is better",100*(MAX(Data!D34,Data!G34,Data!J34,Data!M34,Data!P34,Data!S34)-Data!P34)/(MAX(Data!D34,Data!G34,Data!J34,Data!M34,Data!P34,Data!S34)-MIN(Data!D34,Data!G34,Data!J34,Data!M34,Data!P34,Data!S34)),100*(Data!P34-MIN(Data!D34,Data!G34,Data!J34,Data!M34,Data!P34,Data!S34))/(MAX(Data!D34,Data!G34,Data!J34,Data!M34,Data!P34,Data!S34)-MIN(Data!D34,Data!G34,Data!J34,Data!M34,Data!P34,Data!S34)))))</f>
        <v/>
      </c>
      <c r="H33" s="13">
        <f>IF(COUNT(Data!D34,Data!G34,Data!J34,Data!M34,Data!P34,Data!S34)&lt;6,"",IF(MAX(Data!D34,Data!G34,Data!J34,Data!M34,Data!P34,Data!S34)=MIN(Data!D34,Data!G34,Data!J34,Data!M34,Data!P34,Data!S34),"",IF(Data!$C34="Lower is better",100*(MAX(Data!D34,Data!G34,Data!J34,Data!M34,Data!P34,Data!S34)-Data!S34)/(MAX(Data!D34,Data!G34,Data!J34,Data!M34,Data!P34,Data!S34)-MIN(Data!D34,Data!G34,Data!J34,Data!M34,Data!P34,Data!S34)),100*(Data!S34-MIN(Data!D34,Data!G34,Data!J34,Data!M34,Data!P34,Data!S34))/(MAX(Data!D34,Data!G34,Data!J34,Data!M34,Data!P34,Data!S34)-MIN(Data!D34,Data!G34,Data!J34,Data!M34,Data!P34,Data!S34)))))</f>
        <v/>
      </c>
    </row>
    <row r="34">
      <c r="A34" s="8">
        <f>Indicators!A34</f>
        <v/>
      </c>
      <c r="B34" s="12">
        <f>Indicators!C34</f>
        <v/>
      </c>
      <c r="C34" s="13">
        <f>IF(COUNT(Data!D35,Data!G35,Data!J35,Data!M35,Data!P35,Data!S35)&lt;6,"",IF(MAX(Data!D35,Data!G35,Data!J35,Data!M35,Data!P35,Data!S35)=MIN(Data!D35,Data!G35,Data!J35,Data!M35,Data!P35,Data!S35),"",IF(Data!$C35="Lower is better",100*(MAX(Data!D35,Data!G35,Data!J35,Data!M35,Data!P35,Data!S35)-Data!D35)/(MAX(Data!D35,Data!G35,Data!J35,Data!M35,Data!P35,Data!S35)-MIN(Data!D35,Data!G35,Data!J35,Data!M35,Data!P35,Data!S35)),100*(Data!D35-MIN(Data!D35,Data!G35,Data!J35,Data!M35,Data!P35,Data!S35))/(MAX(Data!D35,Data!G35,Data!J35,Data!M35,Data!P35,Data!S35)-MIN(Data!D35,Data!G35,Data!J35,Data!M35,Data!P35,Data!S35)))))</f>
        <v/>
      </c>
      <c r="D34" s="13">
        <f>IF(COUNT(Data!D35,Data!G35,Data!J35,Data!M35,Data!P35,Data!S35)&lt;6,"",IF(MAX(Data!D35,Data!G35,Data!J35,Data!M35,Data!P35,Data!S35)=MIN(Data!D35,Data!G35,Data!J35,Data!M35,Data!P35,Data!S35),"",IF(Data!$C35="Lower is better",100*(MAX(Data!D35,Data!G35,Data!J35,Data!M35,Data!P35,Data!S35)-Data!G35)/(MAX(Data!D35,Data!G35,Data!J35,Data!M35,Data!P35,Data!S35)-MIN(Data!D35,Data!G35,Data!J35,Data!M35,Data!P35,Data!S35)),100*(Data!G35-MIN(Data!D35,Data!G35,Data!J35,Data!M35,Data!P35,Data!S35))/(MAX(Data!D35,Data!G35,Data!J35,Data!M35,Data!P35,Data!S35)-MIN(Data!D35,Data!G35,Data!J35,Data!M35,Data!P35,Data!S35)))))</f>
        <v/>
      </c>
      <c r="E34" s="13">
        <f>IF(COUNT(Data!D35,Data!G35,Data!J35,Data!M35,Data!P35,Data!S35)&lt;6,"",IF(MAX(Data!D35,Data!G35,Data!J35,Data!M35,Data!P35,Data!S35)=MIN(Data!D35,Data!G35,Data!J35,Data!M35,Data!P35,Data!S35),"",IF(Data!$C35="Lower is better",100*(MAX(Data!D35,Data!G35,Data!J35,Data!M35,Data!P35,Data!S35)-Data!J35)/(MAX(Data!D35,Data!G35,Data!J35,Data!M35,Data!P35,Data!S35)-MIN(Data!D35,Data!G35,Data!J35,Data!M35,Data!P35,Data!S35)),100*(Data!J35-MIN(Data!D35,Data!G35,Data!J35,Data!M35,Data!P35,Data!S35))/(MAX(Data!D35,Data!G35,Data!J35,Data!M35,Data!P35,Data!S35)-MIN(Data!D35,Data!G35,Data!J35,Data!M35,Data!P35,Data!S35)))))</f>
        <v/>
      </c>
      <c r="F34" s="13">
        <f>IF(COUNT(Data!D35,Data!G35,Data!J35,Data!M35,Data!P35,Data!S35)&lt;6,"",IF(MAX(Data!D35,Data!G35,Data!J35,Data!M35,Data!P35,Data!S35)=MIN(Data!D35,Data!G35,Data!J35,Data!M35,Data!P35,Data!S35),"",IF(Data!$C35="Lower is better",100*(MAX(Data!D35,Data!G35,Data!J35,Data!M35,Data!P35,Data!S35)-Data!M35)/(MAX(Data!D35,Data!G35,Data!J35,Data!M35,Data!P35,Data!S35)-MIN(Data!D35,Data!G35,Data!J35,Data!M35,Data!P35,Data!S35)),100*(Data!M35-MIN(Data!D35,Data!G35,Data!J35,Data!M35,Data!P35,Data!S35))/(MAX(Data!D35,Data!G35,Data!J35,Data!M35,Data!P35,Data!S35)-MIN(Data!D35,Data!G35,Data!J35,Data!M35,Data!P35,Data!S35)))))</f>
        <v/>
      </c>
      <c r="G34" s="13">
        <f>IF(COUNT(Data!D35,Data!G35,Data!J35,Data!M35,Data!P35,Data!S35)&lt;6,"",IF(MAX(Data!D35,Data!G35,Data!J35,Data!M35,Data!P35,Data!S35)=MIN(Data!D35,Data!G35,Data!J35,Data!M35,Data!P35,Data!S35),"",IF(Data!$C35="Lower is better",100*(MAX(Data!D35,Data!G35,Data!J35,Data!M35,Data!P35,Data!S35)-Data!P35)/(MAX(Data!D35,Data!G35,Data!J35,Data!M35,Data!P35,Data!S35)-MIN(Data!D35,Data!G35,Data!J35,Data!M35,Data!P35,Data!S35)),100*(Data!P35-MIN(Data!D35,Data!G35,Data!J35,Data!M35,Data!P35,Data!S35))/(MAX(Data!D35,Data!G35,Data!J35,Data!M35,Data!P35,Data!S35)-MIN(Data!D35,Data!G35,Data!J35,Data!M35,Data!P35,Data!S35)))))</f>
        <v/>
      </c>
      <c r="H34" s="13">
        <f>IF(COUNT(Data!D35,Data!G35,Data!J35,Data!M35,Data!P35,Data!S35)&lt;6,"",IF(MAX(Data!D35,Data!G35,Data!J35,Data!M35,Data!P35,Data!S35)=MIN(Data!D35,Data!G35,Data!J35,Data!M35,Data!P35,Data!S35),"",IF(Data!$C35="Lower is better",100*(MAX(Data!D35,Data!G35,Data!J35,Data!M35,Data!P35,Data!S35)-Data!S35)/(MAX(Data!D35,Data!G35,Data!J35,Data!M35,Data!P35,Data!S35)-MIN(Data!D35,Data!G35,Data!J35,Data!M35,Data!P35,Data!S35)),100*(Data!S35-MIN(Data!D35,Data!G35,Data!J35,Data!M35,Data!P35,Data!S35))/(MAX(Data!D35,Data!G35,Data!J35,Data!M35,Data!P35,Data!S35)-MIN(Data!D35,Data!G35,Data!J35,Data!M35,Data!P35,Data!S35)))))</f>
        <v/>
      </c>
    </row>
    <row r="35">
      <c r="A35" s="8">
        <f>Indicators!A35</f>
        <v/>
      </c>
      <c r="B35" s="12">
        <f>Indicators!C35</f>
        <v/>
      </c>
      <c r="C35" s="13">
        <f>IF(COUNT(Data!D36,Data!G36,Data!J36,Data!M36,Data!P36,Data!S36)&lt;6,"",IF(MAX(Data!D36,Data!G36,Data!J36,Data!M36,Data!P36,Data!S36)=MIN(Data!D36,Data!G36,Data!J36,Data!M36,Data!P36,Data!S36),"",IF(Data!$C36="Lower is better",100*(MAX(Data!D36,Data!G36,Data!J36,Data!M36,Data!P36,Data!S36)-Data!D36)/(MAX(Data!D36,Data!G36,Data!J36,Data!M36,Data!P36,Data!S36)-MIN(Data!D36,Data!G36,Data!J36,Data!M36,Data!P36,Data!S36)),100*(Data!D36-MIN(Data!D36,Data!G36,Data!J36,Data!M36,Data!P36,Data!S36))/(MAX(Data!D36,Data!G36,Data!J36,Data!M36,Data!P36,Data!S36)-MIN(Data!D36,Data!G36,Data!J36,Data!M36,Data!P36,Data!S36)))))</f>
        <v/>
      </c>
      <c r="D35" s="13">
        <f>IF(COUNT(Data!D36,Data!G36,Data!J36,Data!M36,Data!P36,Data!S36)&lt;6,"",IF(MAX(Data!D36,Data!G36,Data!J36,Data!M36,Data!P36,Data!S36)=MIN(Data!D36,Data!G36,Data!J36,Data!M36,Data!P36,Data!S36),"",IF(Data!$C36="Lower is better",100*(MAX(Data!D36,Data!G36,Data!J36,Data!M36,Data!P36,Data!S36)-Data!G36)/(MAX(Data!D36,Data!G36,Data!J36,Data!M36,Data!P36,Data!S36)-MIN(Data!D36,Data!G36,Data!J36,Data!M36,Data!P36,Data!S36)),100*(Data!G36-MIN(Data!D36,Data!G36,Data!J36,Data!M36,Data!P36,Data!S36))/(MAX(Data!D36,Data!G36,Data!J36,Data!M36,Data!P36,Data!S36)-MIN(Data!D36,Data!G36,Data!J36,Data!M36,Data!P36,Data!S36)))))</f>
        <v/>
      </c>
      <c r="E35" s="13">
        <f>IF(COUNT(Data!D36,Data!G36,Data!J36,Data!M36,Data!P36,Data!S36)&lt;6,"",IF(MAX(Data!D36,Data!G36,Data!J36,Data!M36,Data!P36,Data!S36)=MIN(Data!D36,Data!G36,Data!J36,Data!M36,Data!P36,Data!S36),"",IF(Data!$C36="Lower is better",100*(MAX(Data!D36,Data!G36,Data!J36,Data!M36,Data!P36,Data!S36)-Data!J36)/(MAX(Data!D36,Data!G36,Data!J36,Data!M36,Data!P36,Data!S36)-MIN(Data!D36,Data!G36,Data!J36,Data!M36,Data!P36,Data!S36)),100*(Data!J36-MIN(Data!D36,Data!G36,Data!J36,Data!M36,Data!P36,Data!S36))/(MAX(Data!D36,Data!G36,Data!J36,Data!M36,Data!P36,Data!S36)-MIN(Data!D36,Data!G36,Data!J36,Data!M36,Data!P36,Data!S36)))))</f>
        <v/>
      </c>
      <c r="F35" s="13">
        <f>IF(COUNT(Data!D36,Data!G36,Data!J36,Data!M36,Data!P36,Data!S36)&lt;6,"",IF(MAX(Data!D36,Data!G36,Data!J36,Data!M36,Data!P36,Data!S36)=MIN(Data!D36,Data!G36,Data!J36,Data!M36,Data!P36,Data!S36),"",IF(Data!$C36="Lower is better",100*(MAX(Data!D36,Data!G36,Data!J36,Data!M36,Data!P36,Data!S36)-Data!M36)/(MAX(Data!D36,Data!G36,Data!J36,Data!M36,Data!P36,Data!S36)-MIN(Data!D36,Data!G36,Data!J36,Data!M36,Data!P36,Data!S36)),100*(Data!M36-MIN(Data!D36,Data!G36,Data!J36,Data!M36,Data!P36,Data!S36))/(MAX(Data!D36,Data!G36,Data!J36,Data!M36,Data!P36,Data!S36)-MIN(Data!D36,Data!G36,Data!J36,Data!M36,Data!P36,Data!S36)))))</f>
        <v/>
      </c>
      <c r="G35" s="13">
        <f>IF(COUNT(Data!D36,Data!G36,Data!J36,Data!M36,Data!P36,Data!S36)&lt;6,"",IF(MAX(Data!D36,Data!G36,Data!J36,Data!M36,Data!P36,Data!S36)=MIN(Data!D36,Data!G36,Data!J36,Data!M36,Data!P36,Data!S36),"",IF(Data!$C36="Lower is better",100*(MAX(Data!D36,Data!G36,Data!J36,Data!M36,Data!P36,Data!S36)-Data!P36)/(MAX(Data!D36,Data!G36,Data!J36,Data!M36,Data!P36,Data!S36)-MIN(Data!D36,Data!G36,Data!J36,Data!M36,Data!P36,Data!S36)),100*(Data!P36-MIN(Data!D36,Data!G36,Data!J36,Data!M36,Data!P36,Data!S36))/(MAX(Data!D36,Data!G36,Data!J36,Data!M36,Data!P36,Data!S36)-MIN(Data!D36,Data!G36,Data!J36,Data!M36,Data!P36,Data!S36)))))</f>
        <v/>
      </c>
      <c r="H35" s="13">
        <f>IF(COUNT(Data!D36,Data!G36,Data!J36,Data!M36,Data!P36,Data!S36)&lt;6,"",IF(MAX(Data!D36,Data!G36,Data!J36,Data!M36,Data!P36,Data!S36)=MIN(Data!D36,Data!G36,Data!J36,Data!M36,Data!P36,Data!S36),"",IF(Data!$C36="Lower is better",100*(MAX(Data!D36,Data!G36,Data!J36,Data!M36,Data!P36,Data!S36)-Data!S36)/(MAX(Data!D36,Data!G36,Data!J36,Data!M36,Data!P36,Data!S36)-MIN(Data!D36,Data!G36,Data!J36,Data!M36,Data!P36,Data!S36)),100*(Data!S36-MIN(Data!D36,Data!G36,Data!J36,Data!M36,Data!P36,Data!S36))/(MAX(Data!D36,Data!G36,Data!J36,Data!M36,Data!P36,Data!S36)-MIN(Data!D36,Data!G36,Data!J36,Data!M36,Data!P36,Data!S36)))))</f>
        <v/>
      </c>
    </row>
    <row r="36">
      <c r="A36" s="8">
        <f>Indicators!A36</f>
        <v/>
      </c>
      <c r="B36" s="12">
        <f>Indicators!C36</f>
        <v/>
      </c>
      <c r="C36" s="13">
        <f>IF(COUNT(Data!D37,Data!G37,Data!J37,Data!M37,Data!P37,Data!S37)&lt;6,"",IF(MAX(Data!D37,Data!G37,Data!J37,Data!M37,Data!P37,Data!S37)=MIN(Data!D37,Data!G37,Data!J37,Data!M37,Data!P37,Data!S37),"",IF(Data!$C37="Lower is better",100*(MAX(Data!D37,Data!G37,Data!J37,Data!M37,Data!P37,Data!S37)-Data!D37)/(MAX(Data!D37,Data!G37,Data!J37,Data!M37,Data!P37,Data!S37)-MIN(Data!D37,Data!G37,Data!J37,Data!M37,Data!P37,Data!S37)),100*(Data!D37-MIN(Data!D37,Data!G37,Data!J37,Data!M37,Data!P37,Data!S37))/(MAX(Data!D37,Data!G37,Data!J37,Data!M37,Data!P37,Data!S37)-MIN(Data!D37,Data!G37,Data!J37,Data!M37,Data!P37,Data!S37)))))</f>
        <v/>
      </c>
      <c r="D36" s="13">
        <f>IF(COUNT(Data!D37,Data!G37,Data!J37,Data!M37,Data!P37,Data!S37)&lt;6,"",IF(MAX(Data!D37,Data!G37,Data!J37,Data!M37,Data!P37,Data!S37)=MIN(Data!D37,Data!G37,Data!J37,Data!M37,Data!P37,Data!S37),"",IF(Data!$C37="Lower is better",100*(MAX(Data!D37,Data!G37,Data!J37,Data!M37,Data!P37,Data!S37)-Data!G37)/(MAX(Data!D37,Data!G37,Data!J37,Data!M37,Data!P37,Data!S37)-MIN(Data!D37,Data!G37,Data!J37,Data!M37,Data!P37,Data!S37)),100*(Data!G37-MIN(Data!D37,Data!G37,Data!J37,Data!M37,Data!P37,Data!S37))/(MAX(Data!D37,Data!G37,Data!J37,Data!M37,Data!P37,Data!S37)-MIN(Data!D37,Data!G37,Data!J37,Data!M37,Data!P37,Data!S37)))))</f>
        <v/>
      </c>
      <c r="E36" s="13">
        <f>IF(COUNT(Data!D37,Data!G37,Data!J37,Data!M37,Data!P37,Data!S37)&lt;6,"",IF(MAX(Data!D37,Data!G37,Data!J37,Data!M37,Data!P37,Data!S37)=MIN(Data!D37,Data!G37,Data!J37,Data!M37,Data!P37,Data!S37),"",IF(Data!$C37="Lower is better",100*(MAX(Data!D37,Data!G37,Data!J37,Data!M37,Data!P37,Data!S37)-Data!J37)/(MAX(Data!D37,Data!G37,Data!J37,Data!M37,Data!P37,Data!S37)-MIN(Data!D37,Data!G37,Data!J37,Data!M37,Data!P37,Data!S37)),100*(Data!J37-MIN(Data!D37,Data!G37,Data!J37,Data!M37,Data!P37,Data!S37))/(MAX(Data!D37,Data!G37,Data!J37,Data!M37,Data!P37,Data!S37)-MIN(Data!D37,Data!G37,Data!J37,Data!M37,Data!P37,Data!S37)))))</f>
        <v/>
      </c>
      <c r="F36" s="13">
        <f>IF(COUNT(Data!D37,Data!G37,Data!J37,Data!M37,Data!P37,Data!S37)&lt;6,"",IF(MAX(Data!D37,Data!G37,Data!J37,Data!M37,Data!P37,Data!S37)=MIN(Data!D37,Data!G37,Data!J37,Data!M37,Data!P37,Data!S37),"",IF(Data!$C37="Lower is better",100*(MAX(Data!D37,Data!G37,Data!J37,Data!M37,Data!P37,Data!S37)-Data!M37)/(MAX(Data!D37,Data!G37,Data!J37,Data!M37,Data!P37,Data!S37)-MIN(Data!D37,Data!G37,Data!J37,Data!M37,Data!P37,Data!S37)),100*(Data!M37-MIN(Data!D37,Data!G37,Data!J37,Data!M37,Data!P37,Data!S37))/(MAX(Data!D37,Data!G37,Data!J37,Data!M37,Data!P37,Data!S37)-MIN(Data!D37,Data!G37,Data!J37,Data!M37,Data!P37,Data!S37)))))</f>
        <v/>
      </c>
      <c r="G36" s="13">
        <f>IF(COUNT(Data!D37,Data!G37,Data!J37,Data!M37,Data!P37,Data!S37)&lt;6,"",IF(MAX(Data!D37,Data!G37,Data!J37,Data!M37,Data!P37,Data!S37)=MIN(Data!D37,Data!G37,Data!J37,Data!M37,Data!P37,Data!S37),"",IF(Data!$C37="Lower is better",100*(MAX(Data!D37,Data!G37,Data!J37,Data!M37,Data!P37,Data!S37)-Data!P37)/(MAX(Data!D37,Data!G37,Data!J37,Data!M37,Data!P37,Data!S37)-MIN(Data!D37,Data!G37,Data!J37,Data!M37,Data!P37,Data!S37)),100*(Data!P37-MIN(Data!D37,Data!G37,Data!J37,Data!M37,Data!P37,Data!S37))/(MAX(Data!D37,Data!G37,Data!J37,Data!M37,Data!P37,Data!S37)-MIN(Data!D37,Data!G37,Data!J37,Data!M37,Data!P37,Data!S37)))))</f>
        <v/>
      </c>
      <c r="H36" s="13">
        <f>IF(COUNT(Data!D37,Data!G37,Data!J37,Data!M37,Data!P37,Data!S37)&lt;6,"",IF(MAX(Data!D37,Data!G37,Data!J37,Data!M37,Data!P37,Data!S37)=MIN(Data!D37,Data!G37,Data!J37,Data!M37,Data!P37,Data!S37),"",IF(Data!$C37="Lower is better",100*(MAX(Data!D37,Data!G37,Data!J37,Data!M37,Data!P37,Data!S37)-Data!S37)/(MAX(Data!D37,Data!G37,Data!J37,Data!M37,Data!P37,Data!S37)-MIN(Data!D37,Data!G37,Data!J37,Data!M37,Data!P37,Data!S37)),100*(Data!S37-MIN(Data!D37,Data!G37,Data!J37,Data!M37,Data!P37,Data!S37))/(MAX(Data!D37,Data!G37,Data!J37,Data!M37,Data!P37,Data!S37)-MIN(Data!D37,Data!G37,Data!J37,Data!M37,Data!P37,Data!S37)))))</f>
        <v/>
      </c>
    </row>
    <row r="37">
      <c r="A37" s="8">
        <f>Indicators!A37</f>
        <v/>
      </c>
      <c r="B37" s="12">
        <f>Indicators!C37</f>
        <v/>
      </c>
      <c r="C37" s="13">
        <f>IF(COUNT(Data!D38,Data!G38,Data!J38,Data!M38,Data!P38,Data!S38)&lt;6,"",IF(MAX(Data!D38,Data!G38,Data!J38,Data!M38,Data!P38,Data!S38)=MIN(Data!D38,Data!G38,Data!J38,Data!M38,Data!P38,Data!S38),"",IF(Data!$C38="Lower is better",100*(MAX(Data!D38,Data!G38,Data!J38,Data!M38,Data!P38,Data!S38)-Data!D38)/(MAX(Data!D38,Data!G38,Data!J38,Data!M38,Data!P38,Data!S38)-MIN(Data!D38,Data!G38,Data!J38,Data!M38,Data!P38,Data!S38)),100*(Data!D38-MIN(Data!D38,Data!G38,Data!J38,Data!M38,Data!P38,Data!S38))/(MAX(Data!D38,Data!G38,Data!J38,Data!M38,Data!P38,Data!S38)-MIN(Data!D38,Data!G38,Data!J38,Data!M38,Data!P38,Data!S38)))))</f>
        <v/>
      </c>
      <c r="D37" s="13">
        <f>IF(COUNT(Data!D38,Data!G38,Data!J38,Data!M38,Data!P38,Data!S38)&lt;6,"",IF(MAX(Data!D38,Data!G38,Data!J38,Data!M38,Data!P38,Data!S38)=MIN(Data!D38,Data!G38,Data!J38,Data!M38,Data!P38,Data!S38),"",IF(Data!$C38="Lower is better",100*(MAX(Data!D38,Data!G38,Data!J38,Data!M38,Data!P38,Data!S38)-Data!G38)/(MAX(Data!D38,Data!G38,Data!J38,Data!M38,Data!P38,Data!S38)-MIN(Data!D38,Data!G38,Data!J38,Data!M38,Data!P38,Data!S38)),100*(Data!G38-MIN(Data!D38,Data!G38,Data!J38,Data!M38,Data!P38,Data!S38))/(MAX(Data!D38,Data!G38,Data!J38,Data!M38,Data!P38,Data!S38)-MIN(Data!D38,Data!G38,Data!J38,Data!M38,Data!P38,Data!S38)))))</f>
        <v/>
      </c>
      <c r="E37" s="13">
        <f>IF(COUNT(Data!D38,Data!G38,Data!J38,Data!M38,Data!P38,Data!S38)&lt;6,"",IF(MAX(Data!D38,Data!G38,Data!J38,Data!M38,Data!P38,Data!S38)=MIN(Data!D38,Data!G38,Data!J38,Data!M38,Data!P38,Data!S38),"",IF(Data!$C38="Lower is better",100*(MAX(Data!D38,Data!G38,Data!J38,Data!M38,Data!P38,Data!S38)-Data!J38)/(MAX(Data!D38,Data!G38,Data!J38,Data!M38,Data!P38,Data!S38)-MIN(Data!D38,Data!G38,Data!J38,Data!M38,Data!P38,Data!S38)),100*(Data!J38-MIN(Data!D38,Data!G38,Data!J38,Data!M38,Data!P38,Data!S38))/(MAX(Data!D38,Data!G38,Data!J38,Data!M38,Data!P38,Data!S38)-MIN(Data!D38,Data!G38,Data!J38,Data!M38,Data!P38,Data!S38)))))</f>
        <v/>
      </c>
      <c r="F37" s="13">
        <f>IF(COUNT(Data!D38,Data!G38,Data!J38,Data!M38,Data!P38,Data!S38)&lt;6,"",IF(MAX(Data!D38,Data!G38,Data!J38,Data!M38,Data!P38,Data!S38)=MIN(Data!D38,Data!G38,Data!J38,Data!M38,Data!P38,Data!S38),"",IF(Data!$C38="Lower is better",100*(MAX(Data!D38,Data!G38,Data!J38,Data!M38,Data!P38,Data!S38)-Data!M38)/(MAX(Data!D38,Data!G38,Data!J38,Data!M38,Data!P38,Data!S38)-MIN(Data!D38,Data!G38,Data!J38,Data!M38,Data!P38,Data!S38)),100*(Data!M38-MIN(Data!D38,Data!G38,Data!J38,Data!M38,Data!P38,Data!S38))/(MAX(Data!D38,Data!G38,Data!J38,Data!M38,Data!P38,Data!S38)-MIN(Data!D38,Data!G38,Data!J38,Data!M38,Data!P38,Data!S38)))))</f>
        <v/>
      </c>
      <c r="G37" s="13">
        <f>IF(COUNT(Data!D38,Data!G38,Data!J38,Data!M38,Data!P38,Data!S38)&lt;6,"",IF(MAX(Data!D38,Data!G38,Data!J38,Data!M38,Data!P38,Data!S38)=MIN(Data!D38,Data!G38,Data!J38,Data!M38,Data!P38,Data!S38),"",IF(Data!$C38="Lower is better",100*(MAX(Data!D38,Data!G38,Data!J38,Data!M38,Data!P38,Data!S38)-Data!P38)/(MAX(Data!D38,Data!G38,Data!J38,Data!M38,Data!P38,Data!S38)-MIN(Data!D38,Data!G38,Data!J38,Data!M38,Data!P38,Data!S38)),100*(Data!P38-MIN(Data!D38,Data!G38,Data!J38,Data!M38,Data!P38,Data!S38))/(MAX(Data!D38,Data!G38,Data!J38,Data!M38,Data!P38,Data!S38)-MIN(Data!D38,Data!G38,Data!J38,Data!M38,Data!P38,Data!S38)))))</f>
        <v/>
      </c>
      <c r="H37" s="13">
        <f>IF(COUNT(Data!D38,Data!G38,Data!J38,Data!M38,Data!P38,Data!S38)&lt;6,"",IF(MAX(Data!D38,Data!G38,Data!J38,Data!M38,Data!P38,Data!S38)=MIN(Data!D38,Data!G38,Data!J38,Data!M38,Data!P38,Data!S38),"",IF(Data!$C38="Lower is better",100*(MAX(Data!D38,Data!G38,Data!J38,Data!M38,Data!P38,Data!S38)-Data!S38)/(MAX(Data!D38,Data!G38,Data!J38,Data!M38,Data!P38,Data!S38)-MIN(Data!D38,Data!G38,Data!J38,Data!M38,Data!P38,Data!S38)),100*(Data!S38-MIN(Data!D38,Data!G38,Data!J38,Data!M38,Data!P38,Data!S38))/(MAX(Data!D38,Data!G38,Data!J38,Data!M38,Data!P38,Data!S38)-MIN(Data!D38,Data!G38,Data!J38,Data!M38,Data!P38,Data!S38)))))</f>
        <v/>
      </c>
    </row>
    <row r="38">
      <c r="A38" s="8">
        <f>Indicators!A38</f>
        <v/>
      </c>
      <c r="B38" s="12">
        <f>Indicators!C38</f>
        <v/>
      </c>
      <c r="C38" s="13">
        <f>IF(COUNT(Data!D39,Data!G39,Data!J39,Data!M39,Data!P39,Data!S39)&lt;6,"",IF(MAX(Data!D39,Data!G39,Data!J39,Data!M39,Data!P39,Data!S39)=MIN(Data!D39,Data!G39,Data!J39,Data!M39,Data!P39,Data!S39),"",IF(Data!$C39="Lower is better",100*(MAX(Data!D39,Data!G39,Data!J39,Data!M39,Data!P39,Data!S39)-Data!D39)/(MAX(Data!D39,Data!G39,Data!J39,Data!M39,Data!P39,Data!S39)-MIN(Data!D39,Data!G39,Data!J39,Data!M39,Data!P39,Data!S39)),100*(Data!D39-MIN(Data!D39,Data!G39,Data!J39,Data!M39,Data!P39,Data!S39))/(MAX(Data!D39,Data!G39,Data!J39,Data!M39,Data!P39,Data!S39)-MIN(Data!D39,Data!G39,Data!J39,Data!M39,Data!P39,Data!S39)))))</f>
        <v/>
      </c>
      <c r="D38" s="13">
        <f>IF(COUNT(Data!D39,Data!G39,Data!J39,Data!M39,Data!P39,Data!S39)&lt;6,"",IF(MAX(Data!D39,Data!G39,Data!J39,Data!M39,Data!P39,Data!S39)=MIN(Data!D39,Data!G39,Data!J39,Data!M39,Data!P39,Data!S39),"",IF(Data!$C39="Lower is better",100*(MAX(Data!D39,Data!G39,Data!J39,Data!M39,Data!P39,Data!S39)-Data!G39)/(MAX(Data!D39,Data!G39,Data!J39,Data!M39,Data!P39,Data!S39)-MIN(Data!D39,Data!G39,Data!J39,Data!M39,Data!P39,Data!S39)),100*(Data!G39-MIN(Data!D39,Data!G39,Data!J39,Data!M39,Data!P39,Data!S39))/(MAX(Data!D39,Data!G39,Data!J39,Data!M39,Data!P39,Data!S39)-MIN(Data!D39,Data!G39,Data!J39,Data!M39,Data!P39,Data!S39)))))</f>
        <v/>
      </c>
      <c r="E38" s="13">
        <f>IF(COUNT(Data!D39,Data!G39,Data!J39,Data!M39,Data!P39,Data!S39)&lt;6,"",IF(MAX(Data!D39,Data!G39,Data!J39,Data!M39,Data!P39,Data!S39)=MIN(Data!D39,Data!G39,Data!J39,Data!M39,Data!P39,Data!S39),"",IF(Data!$C39="Lower is better",100*(MAX(Data!D39,Data!G39,Data!J39,Data!M39,Data!P39,Data!S39)-Data!J39)/(MAX(Data!D39,Data!G39,Data!J39,Data!M39,Data!P39,Data!S39)-MIN(Data!D39,Data!G39,Data!J39,Data!M39,Data!P39,Data!S39)),100*(Data!J39-MIN(Data!D39,Data!G39,Data!J39,Data!M39,Data!P39,Data!S39))/(MAX(Data!D39,Data!G39,Data!J39,Data!M39,Data!P39,Data!S39)-MIN(Data!D39,Data!G39,Data!J39,Data!M39,Data!P39,Data!S39)))))</f>
        <v/>
      </c>
      <c r="F38" s="13">
        <f>IF(COUNT(Data!D39,Data!G39,Data!J39,Data!M39,Data!P39,Data!S39)&lt;6,"",IF(MAX(Data!D39,Data!G39,Data!J39,Data!M39,Data!P39,Data!S39)=MIN(Data!D39,Data!G39,Data!J39,Data!M39,Data!P39,Data!S39),"",IF(Data!$C39="Lower is better",100*(MAX(Data!D39,Data!G39,Data!J39,Data!M39,Data!P39,Data!S39)-Data!M39)/(MAX(Data!D39,Data!G39,Data!J39,Data!M39,Data!P39,Data!S39)-MIN(Data!D39,Data!G39,Data!J39,Data!M39,Data!P39,Data!S39)),100*(Data!M39-MIN(Data!D39,Data!G39,Data!J39,Data!M39,Data!P39,Data!S39))/(MAX(Data!D39,Data!G39,Data!J39,Data!M39,Data!P39,Data!S39)-MIN(Data!D39,Data!G39,Data!J39,Data!M39,Data!P39,Data!S39)))))</f>
        <v/>
      </c>
      <c r="G38" s="13">
        <f>IF(COUNT(Data!D39,Data!G39,Data!J39,Data!M39,Data!P39,Data!S39)&lt;6,"",IF(MAX(Data!D39,Data!G39,Data!J39,Data!M39,Data!P39,Data!S39)=MIN(Data!D39,Data!G39,Data!J39,Data!M39,Data!P39,Data!S39),"",IF(Data!$C39="Lower is better",100*(MAX(Data!D39,Data!G39,Data!J39,Data!M39,Data!P39,Data!S39)-Data!P39)/(MAX(Data!D39,Data!G39,Data!J39,Data!M39,Data!P39,Data!S39)-MIN(Data!D39,Data!G39,Data!J39,Data!M39,Data!P39,Data!S39)),100*(Data!P39-MIN(Data!D39,Data!G39,Data!J39,Data!M39,Data!P39,Data!S39))/(MAX(Data!D39,Data!G39,Data!J39,Data!M39,Data!P39,Data!S39)-MIN(Data!D39,Data!G39,Data!J39,Data!M39,Data!P39,Data!S39)))))</f>
        <v/>
      </c>
      <c r="H38" s="13">
        <f>IF(COUNT(Data!D39,Data!G39,Data!J39,Data!M39,Data!P39,Data!S39)&lt;6,"",IF(MAX(Data!D39,Data!G39,Data!J39,Data!M39,Data!P39,Data!S39)=MIN(Data!D39,Data!G39,Data!J39,Data!M39,Data!P39,Data!S39),"",IF(Data!$C39="Lower is better",100*(MAX(Data!D39,Data!G39,Data!J39,Data!M39,Data!P39,Data!S39)-Data!S39)/(MAX(Data!D39,Data!G39,Data!J39,Data!M39,Data!P39,Data!S39)-MIN(Data!D39,Data!G39,Data!J39,Data!M39,Data!P39,Data!S39)),100*(Data!S39-MIN(Data!D39,Data!G39,Data!J39,Data!M39,Data!P39,Data!S39))/(MAX(Data!D39,Data!G39,Data!J39,Data!M39,Data!P39,Data!S39)-MIN(Data!D39,Data!G39,Data!J39,Data!M39,Data!P39,Data!S39)))))</f>
        <v/>
      </c>
    </row>
    <row r="39">
      <c r="A39" s="8">
        <f>Indicators!A39</f>
        <v/>
      </c>
      <c r="B39" s="12">
        <f>Indicators!C39</f>
        <v/>
      </c>
      <c r="C39" s="13">
        <f>IF(COUNT(Data!D40,Data!G40,Data!J40,Data!M40,Data!P40,Data!S40)&lt;6,"",IF(MAX(Data!D40,Data!G40,Data!J40,Data!M40,Data!P40,Data!S40)=MIN(Data!D40,Data!G40,Data!J40,Data!M40,Data!P40,Data!S40),"",IF(Data!$C40="Lower is better",100*(MAX(Data!D40,Data!G40,Data!J40,Data!M40,Data!P40,Data!S40)-Data!D40)/(MAX(Data!D40,Data!G40,Data!J40,Data!M40,Data!P40,Data!S40)-MIN(Data!D40,Data!G40,Data!J40,Data!M40,Data!P40,Data!S40)),100*(Data!D40-MIN(Data!D40,Data!G40,Data!J40,Data!M40,Data!P40,Data!S40))/(MAX(Data!D40,Data!G40,Data!J40,Data!M40,Data!P40,Data!S40)-MIN(Data!D40,Data!G40,Data!J40,Data!M40,Data!P40,Data!S40)))))</f>
        <v/>
      </c>
      <c r="D39" s="13">
        <f>IF(COUNT(Data!D40,Data!G40,Data!J40,Data!M40,Data!P40,Data!S40)&lt;6,"",IF(MAX(Data!D40,Data!G40,Data!J40,Data!M40,Data!P40,Data!S40)=MIN(Data!D40,Data!G40,Data!J40,Data!M40,Data!P40,Data!S40),"",IF(Data!$C40="Lower is better",100*(MAX(Data!D40,Data!G40,Data!J40,Data!M40,Data!P40,Data!S40)-Data!G40)/(MAX(Data!D40,Data!G40,Data!J40,Data!M40,Data!P40,Data!S40)-MIN(Data!D40,Data!G40,Data!J40,Data!M40,Data!P40,Data!S40)),100*(Data!G40-MIN(Data!D40,Data!G40,Data!J40,Data!M40,Data!P40,Data!S40))/(MAX(Data!D40,Data!G40,Data!J40,Data!M40,Data!P40,Data!S40)-MIN(Data!D40,Data!G40,Data!J40,Data!M40,Data!P40,Data!S40)))))</f>
        <v/>
      </c>
      <c r="E39" s="13">
        <f>IF(COUNT(Data!D40,Data!G40,Data!J40,Data!M40,Data!P40,Data!S40)&lt;6,"",IF(MAX(Data!D40,Data!G40,Data!J40,Data!M40,Data!P40,Data!S40)=MIN(Data!D40,Data!G40,Data!J40,Data!M40,Data!P40,Data!S40),"",IF(Data!$C40="Lower is better",100*(MAX(Data!D40,Data!G40,Data!J40,Data!M40,Data!P40,Data!S40)-Data!J40)/(MAX(Data!D40,Data!G40,Data!J40,Data!M40,Data!P40,Data!S40)-MIN(Data!D40,Data!G40,Data!J40,Data!M40,Data!P40,Data!S40)),100*(Data!J40-MIN(Data!D40,Data!G40,Data!J40,Data!M40,Data!P40,Data!S40))/(MAX(Data!D40,Data!G40,Data!J40,Data!M40,Data!P40,Data!S40)-MIN(Data!D40,Data!G40,Data!J40,Data!M40,Data!P40,Data!S40)))))</f>
        <v/>
      </c>
      <c r="F39" s="13">
        <f>IF(COUNT(Data!D40,Data!G40,Data!J40,Data!M40,Data!P40,Data!S40)&lt;6,"",IF(MAX(Data!D40,Data!G40,Data!J40,Data!M40,Data!P40,Data!S40)=MIN(Data!D40,Data!G40,Data!J40,Data!M40,Data!P40,Data!S40),"",IF(Data!$C40="Lower is better",100*(MAX(Data!D40,Data!G40,Data!J40,Data!M40,Data!P40,Data!S40)-Data!M40)/(MAX(Data!D40,Data!G40,Data!J40,Data!M40,Data!P40,Data!S40)-MIN(Data!D40,Data!G40,Data!J40,Data!M40,Data!P40,Data!S40)),100*(Data!M40-MIN(Data!D40,Data!G40,Data!J40,Data!M40,Data!P40,Data!S40))/(MAX(Data!D40,Data!G40,Data!J40,Data!M40,Data!P40,Data!S40)-MIN(Data!D40,Data!G40,Data!J40,Data!M40,Data!P40,Data!S40)))))</f>
        <v/>
      </c>
      <c r="G39" s="13">
        <f>IF(COUNT(Data!D40,Data!G40,Data!J40,Data!M40,Data!P40,Data!S40)&lt;6,"",IF(MAX(Data!D40,Data!G40,Data!J40,Data!M40,Data!P40,Data!S40)=MIN(Data!D40,Data!G40,Data!J40,Data!M40,Data!P40,Data!S40),"",IF(Data!$C40="Lower is better",100*(MAX(Data!D40,Data!G40,Data!J40,Data!M40,Data!P40,Data!S40)-Data!P40)/(MAX(Data!D40,Data!G40,Data!J40,Data!M40,Data!P40,Data!S40)-MIN(Data!D40,Data!G40,Data!J40,Data!M40,Data!P40,Data!S40)),100*(Data!P40-MIN(Data!D40,Data!G40,Data!J40,Data!M40,Data!P40,Data!S40))/(MAX(Data!D40,Data!G40,Data!J40,Data!M40,Data!P40,Data!S40)-MIN(Data!D40,Data!G40,Data!J40,Data!M40,Data!P40,Data!S40)))))</f>
        <v/>
      </c>
      <c r="H39" s="13">
        <f>IF(COUNT(Data!D40,Data!G40,Data!J40,Data!M40,Data!P40,Data!S40)&lt;6,"",IF(MAX(Data!D40,Data!G40,Data!J40,Data!M40,Data!P40,Data!S40)=MIN(Data!D40,Data!G40,Data!J40,Data!M40,Data!P40,Data!S40),"",IF(Data!$C40="Lower is better",100*(MAX(Data!D40,Data!G40,Data!J40,Data!M40,Data!P40,Data!S40)-Data!S40)/(MAX(Data!D40,Data!G40,Data!J40,Data!M40,Data!P40,Data!S40)-MIN(Data!D40,Data!G40,Data!J40,Data!M40,Data!P40,Data!S40)),100*(Data!S40-MIN(Data!D40,Data!G40,Data!J40,Data!M40,Data!P40,Data!S40))/(MAX(Data!D40,Data!G40,Data!J40,Data!M40,Data!P40,Data!S40)-MIN(Data!D40,Data!G40,Data!J40,Data!M40,Data!P40,Data!S40)))))</f>
        <v/>
      </c>
    </row>
    <row r="40">
      <c r="A40" s="8">
        <f>Indicators!A40</f>
        <v/>
      </c>
      <c r="B40" s="12">
        <f>Indicators!C40</f>
        <v/>
      </c>
      <c r="C40" s="13">
        <f>IF(COUNT(Data!D41,Data!G41,Data!J41,Data!M41,Data!P41,Data!S41)&lt;6,"",IF(MAX(Data!D41,Data!G41,Data!J41,Data!M41,Data!P41,Data!S41)=MIN(Data!D41,Data!G41,Data!J41,Data!M41,Data!P41,Data!S41),"",IF(Data!$C41="Lower is better",100*(MAX(Data!D41,Data!G41,Data!J41,Data!M41,Data!P41,Data!S41)-Data!D41)/(MAX(Data!D41,Data!G41,Data!J41,Data!M41,Data!P41,Data!S41)-MIN(Data!D41,Data!G41,Data!J41,Data!M41,Data!P41,Data!S41)),100*(Data!D41-MIN(Data!D41,Data!G41,Data!J41,Data!M41,Data!P41,Data!S41))/(MAX(Data!D41,Data!G41,Data!J41,Data!M41,Data!P41,Data!S41)-MIN(Data!D41,Data!G41,Data!J41,Data!M41,Data!P41,Data!S41)))))</f>
        <v/>
      </c>
      <c r="D40" s="13">
        <f>IF(COUNT(Data!D41,Data!G41,Data!J41,Data!M41,Data!P41,Data!S41)&lt;6,"",IF(MAX(Data!D41,Data!G41,Data!J41,Data!M41,Data!P41,Data!S41)=MIN(Data!D41,Data!G41,Data!J41,Data!M41,Data!P41,Data!S41),"",IF(Data!$C41="Lower is better",100*(MAX(Data!D41,Data!G41,Data!J41,Data!M41,Data!P41,Data!S41)-Data!G41)/(MAX(Data!D41,Data!G41,Data!J41,Data!M41,Data!P41,Data!S41)-MIN(Data!D41,Data!G41,Data!J41,Data!M41,Data!P41,Data!S41)),100*(Data!G41-MIN(Data!D41,Data!G41,Data!J41,Data!M41,Data!P41,Data!S41))/(MAX(Data!D41,Data!G41,Data!J41,Data!M41,Data!P41,Data!S41)-MIN(Data!D41,Data!G41,Data!J41,Data!M41,Data!P41,Data!S41)))))</f>
        <v/>
      </c>
      <c r="E40" s="13">
        <f>IF(COUNT(Data!D41,Data!G41,Data!J41,Data!M41,Data!P41,Data!S41)&lt;6,"",IF(MAX(Data!D41,Data!G41,Data!J41,Data!M41,Data!P41,Data!S41)=MIN(Data!D41,Data!G41,Data!J41,Data!M41,Data!P41,Data!S41),"",IF(Data!$C41="Lower is better",100*(MAX(Data!D41,Data!G41,Data!J41,Data!M41,Data!P41,Data!S41)-Data!J41)/(MAX(Data!D41,Data!G41,Data!J41,Data!M41,Data!P41,Data!S41)-MIN(Data!D41,Data!G41,Data!J41,Data!M41,Data!P41,Data!S41)),100*(Data!J41-MIN(Data!D41,Data!G41,Data!J41,Data!M41,Data!P41,Data!S41))/(MAX(Data!D41,Data!G41,Data!J41,Data!M41,Data!P41,Data!S41)-MIN(Data!D41,Data!G41,Data!J41,Data!M41,Data!P41,Data!S41)))))</f>
        <v/>
      </c>
      <c r="F40" s="13">
        <f>IF(COUNT(Data!D41,Data!G41,Data!J41,Data!M41,Data!P41,Data!S41)&lt;6,"",IF(MAX(Data!D41,Data!G41,Data!J41,Data!M41,Data!P41,Data!S41)=MIN(Data!D41,Data!G41,Data!J41,Data!M41,Data!P41,Data!S41),"",IF(Data!$C41="Lower is better",100*(MAX(Data!D41,Data!G41,Data!J41,Data!M41,Data!P41,Data!S41)-Data!M41)/(MAX(Data!D41,Data!G41,Data!J41,Data!M41,Data!P41,Data!S41)-MIN(Data!D41,Data!G41,Data!J41,Data!M41,Data!P41,Data!S41)),100*(Data!M41-MIN(Data!D41,Data!G41,Data!J41,Data!M41,Data!P41,Data!S41))/(MAX(Data!D41,Data!G41,Data!J41,Data!M41,Data!P41,Data!S41)-MIN(Data!D41,Data!G41,Data!J41,Data!M41,Data!P41,Data!S41)))))</f>
        <v/>
      </c>
      <c r="G40" s="13">
        <f>IF(COUNT(Data!D41,Data!G41,Data!J41,Data!M41,Data!P41,Data!S41)&lt;6,"",IF(MAX(Data!D41,Data!G41,Data!J41,Data!M41,Data!P41,Data!S41)=MIN(Data!D41,Data!G41,Data!J41,Data!M41,Data!P41,Data!S41),"",IF(Data!$C41="Lower is better",100*(MAX(Data!D41,Data!G41,Data!J41,Data!M41,Data!P41,Data!S41)-Data!P41)/(MAX(Data!D41,Data!G41,Data!J41,Data!M41,Data!P41,Data!S41)-MIN(Data!D41,Data!G41,Data!J41,Data!M41,Data!P41,Data!S41)),100*(Data!P41-MIN(Data!D41,Data!G41,Data!J41,Data!M41,Data!P41,Data!S41))/(MAX(Data!D41,Data!G41,Data!J41,Data!M41,Data!P41,Data!S41)-MIN(Data!D41,Data!G41,Data!J41,Data!M41,Data!P41,Data!S41)))))</f>
        <v/>
      </c>
      <c r="H40" s="13">
        <f>IF(COUNT(Data!D41,Data!G41,Data!J41,Data!M41,Data!P41,Data!S41)&lt;6,"",IF(MAX(Data!D41,Data!G41,Data!J41,Data!M41,Data!P41,Data!S41)=MIN(Data!D41,Data!G41,Data!J41,Data!M41,Data!P41,Data!S41),"",IF(Data!$C41="Lower is better",100*(MAX(Data!D41,Data!G41,Data!J41,Data!M41,Data!P41,Data!S41)-Data!S41)/(MAX(Data!D41,Data!G41,Data!J41,Data!M41,Data!P41,Data!S41)-MIN(Data!D41,Data!G41,Data!J41,Data!M41,Data!P41,Data!S41)),100*(Data!S41-MIN(Data!D41,Data!G41,Data!J41,Data!M41,Data!P41,Data!S41))/(MAX(Data!D41,Data!G41,Data!J41,Data!M41,Data!P41,Data!S41)-MIN(Data!D41,Data!G41,Data!J41,Data!M41,Data!P41,Data!S41)))))</f>
        <v/>
      </c>
    </row>
    <row r="41">
      <c r="A41" s="8">
        <f>Indicators!A41</f>
        <v/>
      </c>
      <c r="B41" s="12">
        <f>Indicators!C41</f>
        <v/>
      </c>
      <c r="C41" s="13">
        <f>IF(COUNT(Data!D42,Data!G42,Data!J42,Data!M42,Data!P42,Data!S42)&lt;6,"",IF(MAX(Data!D42,Data!G42,Data!J42,Data!M42,Data!P42,Data!S42)=MIN(Data!D42,Data!G42,Data!J42,Data!M42,Data!P42,Data!S42),"",IF(Data!$C42="Lower is better",100*(MAX(Data!D42,Data!G42,Data!J42,Data!M42,Data!P42,Data!S42)-Data!D42)/(MAX(Data!D42,Data!G42,Data!J42,Data!M42,Data!P42,Data!S42)-MIN(Data!D42,Data!G42,Data!J42,Data!M42,Data!P42,Data!S42)),100*(Data!D42-MIN(Data!D42,Data!G42,Data!J42,Data!M42,Data!P42,Data!S42))/(MAX(Data!D42,Data!G42,Data!J42,Data!M42,Data!P42,Data!S42)-MIN(Data!D42,Data!G42,Data!J42,Data!M42,Data!P42,Data!S42)))))</f>
        <v/>
      </c>
      <c r="D41" s="13">
        <f>IF(COUNT(Data!D42,Data!G42,Data!J42,Data!M42,Data!P42,Data!S42)&lt;6,"",IF(MAX(Data!D42,Data!G42,Data!J42,Data!M42,Data!P42,Data!S42)=MIN(Data!D42,Data!G42,Data!J42,Data!M42,Data!P42,Data!S42),"",IF(Data!$C42="Lower is better",100*(MAX(Data!D42,Data!G42,Data!J42,Data!M42,Data!P42,Data!S42)-Data!G42)/(MAX(Data!D42,Data!G42,Data!J42,Data!M42,Data!P42,Data!S42)-MIN(Data!D42,Data!G42,Data!J42,Data!M42,Data!P42,Data!S42)),100*(Data!G42-MIN(Data!D42,Data!G42,Data!J42,Data!M42,Data!P42,Data!S42))/(MAX(Data!D42,Data!G42,Data!J42,Data!M42,Data!P42,Data!S42)-MIN(Data!D42,Data!G42,Data!J42,Data!M42,Data!P42,Data!S42)))))</f>
        <v/>
      </c>
      <c r="E41" s="13">
        <f>IF(COUNT(Data!D42,Data!G42,Data!J42,Data!M42,Data!P42,Data!S42)&lt;6,"",IF(MAX(Data!D42,Data!G42,Data!J42,Data!M42,Data!P42,Data!S42)=MIN(Data!D42,Data!G42,Data!J42,Data!M42,Data!P42,Data!S42),"",IF(Data!$C42="Lower is better",100*(MAX(Data!D42,Data!G42,Data!J42,Data!M42,Data!P42,Data!S42)-Data!J42)/(MAX(Data!D42,Data!G42,Data!J42,Data!M42,Data!P42,Data!S42)-MIN(Data!D42,Data!G42,Data!J42,Data!M42,Data!P42,Data!S42)),100*(Data!J42-MIN(Data!D42,Data!G42,Data!J42,Data!M42,Data!P42,Data!S42))/(MAX(Data!D42,Data!G42,Data!J42,Data!M42,Data!P42,Data!S42)-MIN(Data!D42,Data!G42,Data!J42,Data!M42,Data!P42,Data!S42)))))</f>
        <v/>
      </c>
      <c r="F41" s="13">
        <f>IF(COUNT(Data!D42,Data!G42,Data!J42,Data!M42,Data!P42,Data!S42)&lt;6,"",IF(MAX(Data!D42,Data!G42,Data!J42,Data!M42,Data!P42,Data!S42)=MIN(Data!D42,Data!G42,Data!J42,Data!M42,Data!P42,Data!S42),"",IF(Data!$C42="Lower is better",100*(MAX(Data!D42,Data!G42,Data!J42,Data!M42,Data!P42,Data!S42)-Data!M42)/(MAX(Data!D42,Data!G42,Data!J42,Data!M42,Data!P42,Data!S42)-MIN(Data!D42,Data!G42,Data!J42,Data!M42,Data!P42,Data!S42)),100*(Data!M42-MIN(Data!D42,Data!G42,Data!J42,Data!M42,Data!P42,Data!S42))/(MAX(Data!D42,Data!G42,Data!J42,Data!M42,Data!P42,Data!S42)-MIN(Data!D42,Data!G42,Data!J42,Data!M42,Data!P42,Data!S42)))))</f>
        <v/>
      </c>
      <c r="G41" s="13">
        <f>IF(COUNT(Data!D42,Data!G42,Data!J42,Data!M42,Data!P42,Data!S42)&lt;6,"",IF(MAX(Data!D42,Data!G42,Data!J42,Data!M42,Data!P42,Data!S42)=MIN(Data!D42,Data!G42,Data!J42,Data!M42,Data!P42,Data!S42),"",IF(Data!$C42="Lower is better",100*(MAX(Data!D42,Data!G42,Data!J42,Data!M42,Data!P42,Data!S42)-Data!P42)/(MAX(Data!D42,Data!G42,Data!J42,Data!M42,Data!P42,Data!S42)-MIN(Data!D42,Data!G42,Data!J42,Data!M42,Data!P42,Data!S42)),100*(Data!P42-MIN(Data!D42,Data!G42,Data!J42,Data!M42,Data!P42,Data!S42))/(MAX(Data!D42,Data!G42,Data!J42,Data!M42,Data!P42,Data!S42)-MIN(Data!D42,Data!G42,Data!J42,Data!M42,Data!P42,Data!S42)))))</f>
        <v/>
      </c>
      <c r="H41" s="13">
        <f>IF(COUNT(Data!D42,Data!G42,Data!J42,Data!M42,Data!P42,Data!S42)&lt;6,"",IF(MAX(Data!D42,Data!G42,Data!J42,Data!M42,Data!P42,Data!S42)=MIN(Data!D42,Data!G42,Data!J42,Data!M42,Data!P42,Data!S42),"",IF(Data!$C42="Lower is better",100*(MAX(Data!D42,Data!G42,Data!J42,Data!M42,Data!P42,Data!S42)-Data!S42)/(MAX(Data!D42,Data!G42,Data!J42,Data!M42,Data!P42,Data!S42)-MIN(Data!D42,Data!G42,Data!J42,Data!M42,Data!P42,Data!S42)),100*(Data!S42-MIN(Data!D42,Data!G42,Data!J42,Data!M42,Data!P42,Data!S42))/(MAX(Data!D42,Data!G42,Data!J42,Data!M42,Data!P42,Data!S42)-MIN(Data!D42,Data!G42,Data!J42,Data!M42,Data!P42,Data!S42)))))</f>
        <v/>
      </c>
    </row>
    <row r="42">
      <c r="A42" s="8">
        <f>Indicators!A42</f>
        <v/>
      </c>
      <c r="B42" s="12">
        <f>Indicators!C42</f>
        <v/>
      </c>
      <c r="C42" s="13">
        <f>IF(COUNT(Data!D43,Data!G43,Data!J43,Data!M43,Data!P43,Data!S43)&lt;6,"",IF(MAX(Data!D43,Data!G43,Data!J43,Data!M43,Data!P43,Data!S43)=MIN(Data!D43,Data!G43,Data!J43,Data!M43,Data!P43,Data!S43),"",IF(Data!$C43="Lower is better",100*(MAX(Data!D43,Data!G43,Data!J43,Data!M43,Data!P43,Data!S43)-Data!D43)/(MAX(Data!D43,Data!G43,Data!J43,Data!M43,Data!P43,Data!S43)-MIN(Data!D43,Data!G43,Data!J43,Data!M43,Data!P43,Data!S43)),100*(Data!D43-MIN(Data!D43,Data!G43,Data!J43,Data!M43,Data!P43,Data!S43))/(MAX(Data!D43,Data!G43,Data!J43,Data!M43,Data!P43,Data!S43)-MIN(Data!D43,Data!G43,Data!J43,Data!M43,Data!P43,Data!S43)))))</f>
        <v/>
      </c>
      <c r="D42" s="13">
        <f>IF(COUNT(Data!D43,Data!G43,Data!J43,Data!M43,Data!P43,Data!S43)&lt;6,"",IF(MAX(Data!D43,Data!G43,Data!J43,Data!M43,Data!P43,Data!S43)=MIN(Data!D43,Data!G43,Data!J43,Data!M43,Data!P43,Data!S43),"",IF(Data!$C43="Lower is better",100*(MAX(Data!D43,Data!G43,Data!J43,Data!M43,Data!P43,Data!S43)-Data!G43)/(MAX(Data!D43,Data!G43,Data!J43,Data!M43,Data!P43,Data!S43)-MIN(Data!D43,Data!G43,Data!J43,Data!M43,Data!P43,Data!S43)),100*(Data!G43-MIN(Data!D43,Data!G43,Data!J43,Data!M43,Data!P43,Data!S43))/(MAX(Data!D43,Data!G43,Data!J43,Data!M43,Data!P43,Data!S43)-MIN(Data!D43,Data!G43,Data!J43,Data!M43,Data!P43,Data!S43)))))</f>
        <v/>
      </c>
      <c r="E42" s="13">
        <f>IF(COUNT(Data!D43,Data!G43,Data!J43,Data!M43,Data!P43,Data!S43)&lt;6,"",IF(MAX(Data!D43,Data!G43,Data!J43,Data!M43,Data!P43,Data!S43)=MIN(Data!D43,Data!G43,Data!J43,Data!M43,Data!P43,Data!S43),"",IF(Data!$C43="Lower is better",100*(MAX(Data!D43,Data!G43,Data!J43,Data!M43,Data!P43,Data!S43)-Data!J43)/(MAX(Data!D43,Data!G43,Data!J43,Data!M43,Data!P43,Data!S43)-MIN(Data!D43,Data!G43,Data!J43,Data!M43,Data!P43,Data!S43)),100*(Data!J43-MIN(Data!D43,Data!G43,Data!J43,Data!M43,Data!P43,Data!S43))/(MAX(Data!D43,Data!G43,Data!J43,Data!M43,Data!P43,Data!S43)-MIN(Data!D43,Data!G43,Data!J43,Data!M43,Data!P43,Data!S43)))))</f>
        <v/>
      </c>
      <c r="F42" s="13">
        <f>IF(COUNT(Data!D43,Data!G43,Data!J43,Data!M43,Data!P43,Data!S43)&lt;6,"",IF(MAX(Data!D43,Data!G43,Data!J43,Data!M43,Data!P43,Data!S43)=MIN(Data!D43,Data!G43,Data!J43,Data!M43,Data!P43,Data!S43),"",IF(Data!$C43="Lower is better",100*(MAX(Data!D43,Data!G43,Data!J43,Data!M43,Data!P43,Data!S43)-Data!M43)/(MAX(Data!D43,Data!G43,Data!J43,Data!M43,Data!P43,Data!S43)-MIN(Data!D43,Data!G43,Data!J43,Data!M43,Data!P43,Data!S43)),100*(Data!M43-MIN(Data!D43,Data!G43,Data!J43,Data!M43,Data!P43,Data!S43))/(MAX(Data!D43,Data!G43,Data!J43,Data!M43,Data!P43,Data!S43)-MIN(Data!D43,Data!G43,Data!J43,Data!M43,Data!P43,Data!S43)))))</f>
        <v/>
      </c>
      <c r="G42" s="13">
        <f>IF(COUNT(Data!D43,Data!G43,Data!J43,Data!M43,Data!P43,Data!S43)&lt;6,"",IF(MAX(Data!D43,Data!G43,Data!J43,Data!M43,Data!P43,Data!S43)=MIN(Data!D43,Data!G43,Data!J43,Data!M43,Data!P43,Data!S43),"",IF(Data!$C43="Lower is better",100*(MAX(Data!D43,Data!G43,Data!J43,Data!M43,Data!P43,Data!S43)-Data!P43)/(MAX(Data!D43,Data!G43,Data!J43,Data!M43,Data!P43,Data!S43)-MIN(Data!D43,Data!G43,Data!J43,Data!M43,Data!P43,Data!S43)),100*(Data!P43-MIN(Data!D43,Data!G43,Data!J43,Data!M43,Data!P43,Data!S43))/(MAX(Data!D43,Data!G43,Data!J43,Data!M43,Data!P43,Data!S43)-MIN(Data!D43,Data!G43,Data!J43,Data!M43,Data!P43,Data!S43)))))</f>
        <v/>
      </c>
      <c r="H42" s="13">
        <f>IF(COUNT(Data!D43,Data!G43,Data!J43,Data!M43,Data!P43,Data!S43)&lt;6,"",IF(MAX(Data!D43,Data!G43,Data!J43,Data!M43,Data!P43,Data!S43)=MIN(Data!D43,Data!G43,Data!J43,Data!M43,Data!P43,Data!S43),"",IF(Data!$C43="Lower is better",100*(MAX(Data!D43,Data!G43,Data!J43,Data!M43,Data!P43,Data!S43)-Data!S43)/(MAX(Data!D43,Data!G43,Data!J43,Data!M43,Data!P43,Data!S43)-MIN(Data!D43,Data!G43,Data!J43,Data!M43,Data!P43,Data!S43)),100*(Data!S43-MIN(Data!D43,Data!G43,Data!J43,Data!M43,Data!P43,Data!S43))/(MAX(Data!D43,Data!G43,Data!J43,Data!M43,Data!P43,Data!S43)-MIN(Data!D43,Data!G43,Data!J43,Data!M43,Data!P43,Data!S43)))))</f>
        <v/>
      </c>
    </row>
    <row r="43">
      <c r="A43" s="8">
        <f>Indicators!A43</f>
        <v/>
      </c>
      <c r="B43" s="12">
        <f>Indicators!C43</f>
        <v/>
      </c>
      <c r="C43" s="13">
        <f>IF(COUNT(Data!D44,Data!G44,Data!J44,Data!M44,Data!P44,Data!S44)&lt;6,"",IF(MAX(Data!D44,Data!G44,Data!J44,Data!M44,Data!P44,Data!S44)=MIN(Data!D44,Data!G44,Data!J44,Data!M44,Data!P44,Data!S44),"",IF(Data!$C44="Lower is better",100*(MAX(Data!D44,Data!G44,Data!J44,Data!M44,Data!P44,Data!S44)-Data!D44)/(MAX(Data!D44,Data!G44,Data!J44,Data!M44,Data!P44,Data!S44)-MIN(Data!D44,Data!G44,Data!J44,Data!M44,Data!P44,Data!S44)),100*(Data!D44-MIN(Data!D44,Data!G44,Data!J44,Data!M44,Data!P44,Data!S44))/(MAX(Data!D44,Data!G44,Data!J44,Data!M44,Data!P44,Data!S44)-MIN(Data!D44,Data!G44,Data!J44,Data!M44,Data!P44,Data!S44)))))</f>
        <v/>
      </c>
      <c r="D43" s="13">
        <f>IF(COUNT(Data!D44,Data!G44,Data!J44,Data!M44,Data!P44,Data!S44)&lt;6,"",IF(MAX(Data!D44,Data!G44,Data!J44,Data!M44,Data!P44,Data!S44)=MIN(Data!D44,Data!G44,Data!J44,Data!M44,Data!P44,Data!S44),"",IF(Data!$C44="Lower is better",100*(MAX(Data!D44,Data!G44,Data!J44,Data!M44,Data!P44,Data!S44)-Data!G44)/(MAX(Data!D44,Data!G44,Data!J44,Data!M44,Data!P44,Data!S44)-MIN(Data!D44,Data!G44,Data!J44,Data!M44,Data!P44,Data!S44)),100*(Data!G44-MIN(Data!D44,Data!G44,Data!J44,Data!M44,Data!P44,Data!S44))/(MAX(Data!D44,Data!G44,Data!J44,Data!M44,Data!P44,Data!S44)-MIN(Data!D44,Data!G44,Data!J44,Data!M44,Data!P44,Data!S44)))))</f>
        <v/>
      </c>
      <c r="E43" s="13">
        <f>IF(COUNT(Data!D44,Data!G44,Data!J44,Data!M44,Data!P44,Data!S44)&lt;6,"",IF(MAX(Data!D44,Data!G44,Data!J44,Data!M44,Data!P44,Data!S44)=MIN(Data!D44,Data!G44,Data!J44,Data!M44,Data!P44,Data!S44),"",IF(Data!$C44="Lower is better",100*(MAX(Data!D44,Data!G44,Data!J44,Data!M44,Data!P44,Data!S44)-Data!J44)/(MAX(Data!D44,Data!G44,Data!J44,Data!M44,Data!P44,Data!S44)-MIN(Data!D44,Data!G44,Data!J44,Data!M44,Data!P44,Data!S44)),100*(Data!J44-MIN(Data!D44,Data!G44,Data!J44,Data!M44,Data!P44,Data!S44))/(MAX(Data!D44,Data!G44,Data!J44,Data!M44,Data!P44,Data!S44)-MIN(Data!D44,Data!G44,Data!J44,Data!M44,Data!P44,Data!S44)))))</f>
        <v/>
      </c>
      <c r="F43" s="13">
        <f>IF(COUNT(Data!D44,Data!G44,Data!J44,Data!M44,Data!P44,Data!S44)&lt;6,"",IF(MAX(Data!D44,Data!G44,Data!J44,Data!M44,Data!P44,Data!S44)=MIN(Data!D44,Data!G44,Data!J44,Data!M44,Data!P44,Data!S44),"",IF(Data!$C44="Lower is better",100*(MAX(Data!D44,Data!G44,Data!J44,Data!M44,Data!P44,Data!S44)-Data!M44)/(MAX(Data!D44,Data!G44,Data!J44,Data!M44,Data!P44,Data!S44)-MIN(Data!D44,Data!G44,Data!J44,Data!M44,Data!P44,Data!S44)),100*(Data!M44-MIN(Data!D44,Data!G44,Data!J44,Data!M44,Data!P44,Data!S44))/(MAX(Data!D44,Data!G44,Data!J44,Data!M44,Data!P44,Data!S44)-MIN(Data!D44,Data!G44,Data!J44,Data!M44,Data!P44,Data!S44)))))</f>
        <v/>
      </c>
      <c r="G43" s="13">
        <f>IF(COUNT(Data!D44,Data!G44,Data!J44,Data!M44,Data!P44,Data!S44)&lt;6,"",IF(MAX(Data!D44,Data!G44,Data!J44,Data!M44,Data!P44,Data!S44)=MIN(Data!D44,Data!G44,Data!J44,Data!M44,Data!P44,Data!S44),"",IF(Data!$C44="Lower is better",100*(MAX(Data!D44,Data!G44,Data!J44,Data!M44,Data!P44,Data!S44)-Data!P44)/(MAX(Data!D44,Data!G44,Data!J44,Data!M44,Data!P44,Data!S44)-MIN(Data!D44,Data!G44,Data!J44,Data!M44,Data!P44,Data!S44)),100*(Data!P44-MIN(Data!D44,Data!G44,Data!J44,Data!M44,Data!P44,Data!S44))/(MAX(Data!D44,Data!G44,Data!J44,Data!M44,Data!P44,Data!S44)-MIN(Data!D44,Data!G44,Data!J44,Data!M44,Data!P44,Data!S44)))))</f>
        <v/>
      </c>
      <c r="H43" s="13">
        <f>IF(COUNT(Data!D44,Data!G44,Data!J44,Data!M44,Data!P44,Data!S44)&lt;6,"",IF(MAX(Data!D44,Data!G44,Data!J44,Data!M44,Data!P44,Data!S44)=MIN(Data!D44,Data!G44,Data!J44,Data!M44,Data!P44,Data!S44),"",IF(Data!$C44="Lower is better",100*(MAX(Data!D44,Data!G44,Data!J44,Data!M44,Data!P44,Data!S44)-Data!S44)/(MAX(Data!D44,Data!G44,Data!J44,Data!M44,Data!P44,Data!S44)-MIN(Data!D44,Data!G44,Data!J44,Data!M44,Data!P44,Data!S44)),100*(Data!S44-MIN(Data!D44,Data!G44,Data!J44,Data!M44,Data!P44,Data!S44))/(MAX(Data!D44,Data!G44,Data!J44,Data!M44,Data!P44,Data!S44)-MIN(Data!D44,Data!G44,Data!J44,Data!M44,Data!P44,Data!S44)))))</f>
        <v/>
      </c>
    </row>
    <row r="44">
      <c r="A44" s="8">
        <f>Indicators!A44</f>
        <v/>
      </c>
      <c r="B44" s="12">
        <f>Indicators!C44</f>
        <v/>
      </c>
      <c r="C44" s="13">
        <f>IF(COUNT(Data!D45,Data!G45,Data!J45,Data!M45,Data!P45,Data!S45)&lt;6,"",IF(MAX(Data!D45,Data!G45,Data!J45,Data!M45,Data!P45,Data!S45)=MIN(Data!D45,Data!G45,Data!J45,Data!M45,Data!P45,Data!S45),"",IF(Data!$C45="Lower is better",100*(MAX(Data!D45,Data!G45,Data!J45,Data!M45,Data!P45,Data!S45)-Data!D45)/(MAX(Data!D45,Data!G45,Data!J45,Data!M45,Data!P45,Data!S45)-MIN(Data!D45,Data!G45,Data!J45,Data!M45,Data!P45,Data!S45)),100*(Data!D45-MIN(Data!D45,Data!G45,Data!J45,Data!M45,Data!P45,Data!S45))/(MAX(Data!D45,Data!G45,Data!J45,Data!M45,Data!P45,Data!S45)-MIN(Data!D45,Data!G45,Data!J45,Data!M45,Data!P45,Data!S45)))))</f>
        <v/>
      </c>
      <c r="D44" s="13">
        <f>IF(COUNT(Data!D45,Data!G45,Data!J45,Data!M45,Data!P45,Data!S45)&lt;6,"",IF(MAX(Data!D45,Data!G45,Data!J45,Data!M45,Data!P45,Data!S45)=MIN(Data!D45,Data!G45,Data!J45,Data!M45,Data!P45,Data!S45),"",IF(Data!$C45="Lower is better",100*(MAX(Data!D45,Data!G45,Data!J45,Data!M45,Data!P45,Data!S45)-Data!G45)/(MAX(Data!D45,Data!G45,Data!J45,Data!M45,Data!P45,Data!S45)-MIN(Data!D45,Data!G45,Data!J45,Data!M45,Data!P45,Data!S45)),100*(Data!G45-MIN(Data!D45,Data!G45,Data!J45,Data!M45,Data!P45,Data!S45))/(MAX(Data!D45,Data!G45,Data!J45,Data!M45,Data!P45,Data!S45)-MIN(Data!D45,Data!G45,Data!J45,Data!M45,Data!P45,Data!S45)))))</f>
        <v/>
      </c>
      <c r="E44" s="13">
        <f>IF(COUNT(Data!D45,Data!G45,Data!J45,Data!M45,Data!P45,Data!S45)&lt;6,"",IF(MAX(Data!D45,Data!G45,Data!J45,Data!M45,Data!P45,Data!S45)=MIN(Data!D45,Data!G45,Data!J45,Data!M45,Data!P45,Data!S45),"",IF(Data!$C45="Lower is better",100*(MAX(Data!D45,Data!G45,Data!J45,Data!M45,Data!P45,Data!S45)-Data!J45)/(MAX(Data!D45,Data!G45,Data!J45,Data!M45,Data!P45,Data!S45)-MIN(Data!D45,Data!G45,Data!J45,Data!M45,Data!P45,Data!S45)),100*(Data!J45-MIN(Data!D45,Data!G45,Data!J45,Data!M45,Data!P45,Data!S45))/(MAX(Data!D45,Data!G45,Data!J45,Data!M45,Data!P45,Data!S45)-MIN(Data!D45,Data!G45,Data!J45,Data!M45,Data!P45,Data!S45)))))</f>
        <v/>
      </c>
      <c r="F44" s="13">
        <f>IF(COUNT(Data!D45,Data!G45,Data!J45,Data!M45,Data!P45,Data!S45)&lt;6,"",IF(MAX(Data!D45,Data!G45,Data!J45,Data!M45,Data!P45,Data!S45)=MIN(Data!D45,Data!G45,Data!J45,Data!M45,Data!P45,Data!S45),"",IF(Data!$C45="Lower is better",100*(MAX(Data!D45,Data!G45,Data!J45,Data!M45,Data!P45,Data!S45)-Data!M45)/(MAX(Data!D45,Data!G45,Data!J45,Data!M45,Data!P45,Data!S45)-MIN(Data!D45,Data!G45,Data!J45,Data!M45,Data!P45,Data!S45)),100*(Data!M45-MIN(Data!D45,Data!G45,Data!J45,Data!M45,Data!P45,Data!S45))/(MAX(Data!D45,Data!G45,Data!J45,Data!M45,Data!P45,Data!S45)-MIN(Data!D45,Data!G45,Data!J45,Data!M45,Data!P45,Data!S45)))))</f>
        <v/>
      </c>
      <c r="G44" s="13">
        <f>IF(COUNT(Data!D45,Data!G45,Data!J45,Data!M45,Data!P45,Data!S45)&lt;6,"",IF(MAX(Data!D45,Data!G45,Data!J45,Data!M45,Data!P45,Data!S45)=MIN(Data!D45,Data!G45,Data!J45,Data!M45,Data!P45,Data!S45),"",IF(Data!$C45="Lower is better",100*(MAX(Data!D45,Data!G45,Data!J45,Data!M45,Data!P45,Data!S45)-Data!P45)/(MAX(Data!D45,Data!G45,Data!J45,Data!M45,Data!P45,Data!S45)-MIN(Data!D45,Data!G45,Data!J45,Data!M45,Data!P45,Data!S45)),100*(Data!P45-MIN(Data!D45,Data!G45,Data!J45,Data!M45,Data!P45,Data!S45))/(MAX(Data!D45,Data!G45,Data!J45,Data!M45,Data!P45,Data!S45)-MIN(Data!D45,Data!G45,Data!J45,Data!M45,Data!P45,Data!S45)))))</f>
        <v/>
      </c>
      <c r="H44" s="13">
        <f>IF(COUNT(Data!D45,Data!G45,Data!J45,Data!M45,Data!P45,Data!S45)&lt;6,"",IF(MAX(Data!D45,Data!G45,Data!J45,Data!M45,Data!P45,Data!S45)=MIN(Data!D45,Data!G45,Data!J45,Data!M45,Data!P45,Data!S45),"",IF(Data!$C45="Lower is better",100*(MAX(Data!D45,Data!G45,Data!J45,Data!M45,Data!P45,Data!S45)-Data!S45)/(MAX(Data!D45,Data!G45,Data!J45,Data!M45,Data!P45,Data!S45)-MIN(Data!D45,Data!G45,Data!J45,Data!M45,Data!P45,Data!S45)),100*(Data!S45-MIN(Data!D45,Data!G45,Data!J45,Data!M45,Data!P45,Data!S45))/(MAX(Data!D45,Data!G45,Data!J45,Data!M45,Data!P45,Data!S45)-MIN(Data!D45,Data!G45,Data!J45,Data!M45,Data!P45,Data!S45)))))</f>
        <v/>
      </c>
    </row>
    <row r="45">
      <c r="A45" s="8">
        <f>Indicators!A45</f>
        <v/>
      </c>
      <c r="B45" s="12">
        <f>Indicators!C45</f>
        <v/>
      </c>
      <c r="C45" s="13">
        <f>IF(COUNT(Data!D46,Data!G46,Data!J46,Data!M46,Data!P46,Data!S46)&lt;6,"",IF(MAX(Data!D46,Data!G46,Data!J46,Data!M46,Data!P46,Data!S46)=MIN(Data!D46,Data!G46,Data!J46,Data!M46,Data!P46,Data!S46),"",IF(Data!$C46="Lower is better",100*(MAX(Data!D46,Data!G46,Data!J46,Data!M46,Data!P46,Data!S46)-Data!D46)/(MAX(Data!D46,Data!G46,Data!J46,Data!M46,Data!P46,Data!S46)-MIN(Data!D46,Data!G46,Data!J46,Data!M46,Data!P46,Data!S46)),100*(Data!D46-MIN(Data!D46,Data!G46,Data!J46,Data!M46,Data!P46,Data!S46))/(MAX(Data!D46,Data!G46,Data!J46,Data!M46,Data!P46,Data!S46)-MIN(Data!D46,Data!G46,Data!J46,Data!M46,Data!P46,Data!S46)))))</f>
        <v/>
      </c>
      <c r="D45" s="13">
        <f>IF(COUNT(Data!D46,Data!G46,Data!J46,Data!M46,Data!P46,Data!S46)&lt;6,"",IF(MAX(Data!D46,Data!G46,Data!J46,Data!M46,Data!P46,Data!S46)=MIN(Data!D46,Data!G46,Data!J46,Data!M46,Data!P46,Data!S46),"",IF(Data!$C46="Lower is better",100*(MAX(Data!D46,Data!G46,Data!J46,Data!M46,Data!P46,Data!S46)-Data!G46)/(MAX(Data!D46,Data!G46,Data!J46,Data!M46,Data!P46,Data!S46)-MIN(Data!D46,Data!G46,Data!J46,Data!M46,Data!P46,Data!S46)),100*(Data!G46-MIN(Data!D46,Data!G46,Data!J46,Data!M46,Data!P46,Data!S46))/(MAX(Data!D46,Data!G46,Data!J46,Data!M46,Data!P46,Data!S46)-MIN(Data!D46,Data!G46,Data!J46,Data!M46,Data!P46,Data!S46)))))</f>
        <v/>
      </c>
      <c r="E45" s="13">
        <f>IF(COUNT(Data!D46,Data!G46,Data!J46,Data!M46,Data!P46,Data!S46)&lt;6,"",IF(MAX(Data!D46,Data!G46,Data!J46,Data!M46,Data!P46,Data!S46)=MIN(Data!D46,Data!G46,Data!J46,Data!M46,Data!P46,Data!S46),"",IF(Data!$C46="Lower is better",100*(MAX(Data!D46,Data!G46,Data!J46,Data!M46,Data!P46,Data!S46)-Data!J46)/(MAX(Data!D46,Data!G46,Data!J46,Data!M46,Data!P46,Data!S46)-MIN(Data!D46,Data!G46,Data!J46,Data!M46,Data!P46,Data!S46)),100*(Data!J46-MIN(Data!D46,Data!G46,Data!J46,Data!M46,Data!P46,Data!S46))/(MAX(Data!D46,Data!G46,Data!J46,Data!M46,Data!P46,Data!S46)-MIN(Data!D46,Data!G46,Data!J46,Data!M46,Data!P46,Data!S46)))))</f>
        <v/>
      </c>
      <c r="F45" s="13">
        <f>IF(COUNT(Data!D46,Data!G46,Data!J46,Data!M46,Data!P46,Data!S46)&lt;6,"",IF(MAX(Data!D46,Data!G46,Data!J46,Data!M46,Data!P46,Data!S46)=MIN(Data!D46,Data!G46,Data!J46,Data!M46,Data!P46,Data!S46),"",IF(Data!$C46="Lower is better",100*(MAX(Data!D46,Data!G46,Data!J46,Data!M46,Data!P46,Data!S46)-Data!M46)/(MAX(Data!D46,Data!G46,Data!J46,Data!M46,Data!P46,Data!S46)-MIN(Data!D46,Data!G46,Data!J46,Data!M46,Data!P46,Data!S46)),100*(Data!M46-MIN(Data!D46,Data!G46,Data!J46,Data!M46,Data!P46,Data!S46))/(MAX(Data!D46,Data!G46,Data!J46,Data!M46,Data!P46,Data!S46)-MIN(Data!D46,Data!G46,Data!J46,Data!M46,Data!P46,Data!S46)))))</f>
        <v/>
      </c>
      <c r="G45" s="13">
        <f>IF(COUNT(Data!D46,Data!G46,Data!J46,Data!M46,Data!P46,Data!S46)&lt;6,"",IF(MAX(Data!D46,Data!G46,Data!J46,Data!M46,Data!P46,Data!S46)=MIN(Data!D46,Data!G46,Data!J46,Data!M46,Data!P46,Data!S46),"",IF(Data!$C46="Lower is better",100*(MAX(Data!D46,Data!G46,Data!J46,Data!M46,Data!P46,Data!S46)-Data!P46)/(MAX(Data!D46,Data!G46,Data!J46,Data!M46,Data!P46,Data!S46)-MIN(Data!D46,Data!G46,Data!J46,Data!M46,Data!P46,Data!S46)),100*(Data!P46-MIN(Data!D46,Data!G46,Data!J46,Data!M46,Data!P46,Data!S46))/(MAX(Data!D46,Data!G46,Data!J46,Data!M46,Data!P46,Data!S46)-MIN(Data!D46,Data!G46,Data!J46,Data!M46,Data!P46,Data!S46)))))</f>
        <v/>
      </c>
      <c r="H45" s="13">
        <f>IF(COUNT(Data!D46,Data!G46,Data!J46,Data!M46,Data!P46,Data!S46)&lt;6,"",IF(MAX(Data!D46,Data!G46,Data!J46,Data!M46,Data!P46,Data!S46)=MIN(Data!D46,Data!G46,Data!J46,Data!M46,Data!P46,Data!S46),"",IF(Data!$C46="Lower is better",100*(MAX(Data!D46,Data!G46,Data!J46,Data!M46,Data!P46,Data!S46)-Data!S46)/(MAX(Data!D46,Data!G46,Data!J46,Data!M46,Data!P46,Data!S46)-MIN(Data!D46,Data!G46,Data!J46,Data!M46,Data!P46,Data!S46)),100*(Data!S46-MIN(Data!D46,Data!G46,Data!J46,Data!M46,Data!P46,Data!S46))/(MAX(Data!D46,Data!G46,Data!J46,Data!M46,Data!P46,Data!S46)-MIN(Data!D46,Data!G46,Data!J46,Data!M46,Data!P46,Data!S46)))))</f>
        <v/>
      </c>
    </row>
    <row r="46">
      <c r="A46" s="8">
        <f>Indicators!A46</f>
        <v/>
      </c>
      <c r="B46" s="12">
        <f>Indicators!C46</f>
        <v/>
      </c>
      <c r="C46" s="13">
        <f>IF(COUNT(Data!D47,Data!G47,Data!J47,Data!M47,Data!P47,Data!S47)&lt;6,"",IF(MAX(Data!D47,Data!G47,Data!J47,Data!M47,Data!P47,Data!S47)=MIN(Data!D47,Data!G47,Data!J47,Data!M47,Data!P47,Data!S47),"",IF(Data!$C47="Lower is better",100*(MAX(Data!D47,Data!G47,Data!J47,Data!M47,Data!P47,Data!S47)-Data!D47)/(MAX(Data!D47,Data!G47,Data!J47,Data!M47,Data!P47,Data!S47)-MIN(Data!D47,Data!G47,Data!J47,Data!M47,Data!P47,Data!S47)),100*(Data!D47-MIN(Data!D47,Data!G47,Data!J47,Data!M47,Data!P47,Data!S47))/(MAX(Data!D47,Data!G47,Data!J47,Data!M47,Data!P47,Data!S47)-MIN(Data!D47,Data!G47,Data!J47,Data!M47,Data!P47,Data!S47)))))</f>
        <v/>
      </c>
      <c r="D46" s="13">
        <f>IF(COUNT(Data!D47,Data!G47,Data!J47,Data!M47,Data!P47,Data!S47)&lt;6,"",IF(MAX(Data!D47,Data!G47,Data!J47,Data!M47,Data!P47,Data!S47)=MIN(Data!D47,Data!G47,Data!J47,Data!M47,Data!P47,Data!S47),"",IF(Data!$C47="Lower is better",100*(MAX(Data!D47,Data!G47,Data!J47,Data!M47,Data!P47,Data!S47)-Data!G47)/(MAX(Data!D47,Data!G47,Data!J47,Data!M47,Data!P47,Data!S47)-MIN(Data!D47,Data!G47,Data!J47,Data!M47,Data!P47,Data!S47)),100*(Data!G47-MIN(Data!D47,Data!G47,Data!J47,Data!M47,Data!P47,Data!S47))/(MAX(Data!D47,Data!G47,Data!J47,Data!M47,Data!P47,Data!S47)-MIN(Data!D47,Data!G47,Data!J47,Data!M47,Data!P47,Data!S47)))))</f>
        <v/>
      </c>
      <c r="E46" s="13">
        <f>IF(COUNT(Data!D47,Data!G47,Data!J47,Data!M47,Data!P47,Data!S47)&lt;6,"",IF(MAX(Data!D47,Data!G47,Data!J47,Data!M47,Data!P47,Data!S47)=MIN(Data!D47,Data!G47,Data!J47,Data!M47,Data!P47,Data!S47),"",IF(Data!$C47="Lower is better",100*(MAX(Data!D47,Data!G47,Data!J47,Data!M47,Data!P47,Data!S47)-Data!J47)/(MAX(Data!D47,Data!G47,Data!J47,Data!M47,Data!P47,Data!S47)-MIN(Data!D47,Data!G47,Data!J47,Data!M47,Data!P47,Data!S47)),100*(Data!J47-MIN(Data!D47,Data!G47,Data!J47,Data!M47,Data!P47,Data!S47))/(MAX(Data!D47,Data!G47,Data!J47,Data!M47,Data!P47,Data!S47)-MIN(Data!D47,Data!G47,Data!J47,Data!M47,Data!P47,Data!S47)))))</f>
        <v/>
      </c>
      <c r="F46" s="13">
        <f>IF(COUNT(Data!D47,Data!G47,Data!J47,Data!M47,Data!P47,Data!S47)&lt;6,"",IF(MAX(Data!D47,Data!G47,Data!J47,Data!M47,Data!P47,Data!S47)=MIN(Data!D47,Data!G47,Data!J47,Data!M47,Data!P47,Data!S47),"",IF(Data!$C47="Lower is better",100*(MAX(Data!D47,Data!G47,Data!J47,Data!M47,Data!P47,Data!S47)-Data!M47)/(MAX(Data!D47,Data!G47,Data!J47,Data!M47,Data!P47,Data!S47)-MIN(Data!D47,Data!G47,Data!J47,Data!M47,Data!P47,Data!S47)),100*(Data!M47-MIN(Data!D47,Data!G47,Data!J47,Data!M47,Data!P47,Data!S47))/(MAX(Data!D47,Data!G47,Data!J47,Data!M47,Data!P47,Data!S47)-MIN(Data!D47,Data!G47,Data!J47,Data!M47,Data!P47,Data!S47)))))</f>
        <v/>
      </c>
      <c r="G46" s="13">
        <f>IF(COUNT(Data!D47,Data!G47,Data!J47,Data!M47,Data!P47,Data!S47)&lt;6,"",IF(MAX(Data!D47,Data!G47,Data!J47,Data!M47,Data!P47,Data!S47)=MIN(Data!D47,Data!G47,Data!J47,Data!M47,Data!P47,Data!S47),"",IF(Data!$C47="Lower is better",100*(MAX(Data!D47,Data!G47,Data!J47,Data!M47,Data!P47,Data!S47)-Data!P47)/(MAX(Data!D47,Data!G47,Data!J47,Data!M47,Data!P47,Data!S47)-MIN(Data!D47,Data!G47,Data!J47,Data!M47,Data!P47,Data!S47)),100*(Data!P47-MIN(Data!D47,Data!G47,Data!J47,Data!M47,Data!P47,Data!S47))/(MAX(Data!D47,Data!G47,Data!J47,Data!M47,Data!P47,Data!S47)-MIN(Data!D47,Data!G47,Data!J47,Data!M47,Data!P47,Data!S47)))))</f>
        <v/>
      </c>
      <c r="H46" s="13">
        <f>IF(COUNT(Data!D47,Data!G47,Data!J47,Data!M47,Data!P47,Data!S47)&lt;6,"",IF(MAX(Data!D47,Data!G47,Data!J47,Data!M47,Data!P47,Data!S47)=MIN(Data!D47,Data!G47,Data!J47,Data!M47,Data!P47,Data!S47),"",IF(Data!$C47="Lower is better",100*(MAX(Data!D47,Data!G47,Data!J47,Data!M47,Data!P47,Data!S47)-Data!S47)/(MAX(Data!D47,Data!G47,Data!J47,Data!M47,Data!P47,Data!S47)-MIN(Data!D47,Data!G47,Data!J47,Data!M47,Data!P47,Data!S47)),100*(Data!S47-MIN(Data!D47,Data!G47,Data!J47,Data!M47,Data!P47,Data!S47))/(MAX(Data!D47,Data!G47,Data!J47,Data!M47,Data!P47,Data!S47)-MIN(Data!D47,Data!G47,Data!J47,Data!M47,Data!P47,Data!S47)))))</f>
        <v/>
      </c>
    </row>
    <row r="47">
      <c r="A47" s="8">
        <f>Indicators!A47</f>
        <v/>
      </c>
      <c r="B47" s="12">
        <f>Indicators!C47</f>
        <v/>
      </c>
      <c r="C47" s="13">
        <f>IF(COUNT(Data!D48,Data!G48,Data!J48,Data!M48,Data!P48,Data!S48)&lt;6,"",IF(MAX(Data!D48,Data!G48,Data!J48,Data!M48,Data!P48,Data!S48)=MIN(Data!D48,Data!G48,Data!J48,Data!M48,Data!P48,Data!S48),"",IF(Data!$C48="Lower is better",100*(MAX(Data!D48,Data!G48,Data!J48,Data!M48,Data!P48,Data!S48)-Data!D48)/(MAX(Data!D48,Data!G48,Data!J48,Data!M48,Data!P48,Data!S48)-MIN(Data!D48,Data!G48,Data!J48,Data!M48,Data!P48,Data!S48)),100*(Data!D48-MIN(Data!D48,Data!G48,Data!J48,Data!M48,Data!P48,Data!S48))/(MAX(Data!D48,Data!G48,Data!J48,Data!M48,Data!P48,Data!S48)-MIN(Data!D48,Data!G48,Data!J48,Data!M48,Data!P48,Data!S48)))))</f>
        <v/>
      </c>
      <c r="D47" s="13">
        <f>IF(COUNT(Data!D48,Data!G48,Data!J48,Data!M48,Data!P48,Data!S48)&lt;6,"",IF(MAX(Data!D48,Data!G48,Data!J48,Data!M48,Data!P48,Data!S48)=MIN(Data!D48,Data!G48,Data!J48,Data!M48,Data!P48,Data!S48),"",IF(Data!$C48="Lower is better",100*(MAX(Data!D48,Data!G48,Data!J48,Data!M48,Data!P48,Data!S48)-Data!G48)/(MAX(Data!D48,Data!G48,Data!J48,Data!M48,Data!P48,Data!S48)-MIN(Data!D48,Data!G48,Data!J48,Data!M48,Data!P48,Data!S48)),100*(Data!G48-MIN(Data!D48,Data!G48,Data!J48,Data!M48,Data!P48,Data!S48))/(MAX(Data!D48,Data!G48,Data!J48,Data!M48,Data!P48,Data!S48)-MIN(Data!D48,Data!G48,Data!J48,Data!M48,Data!P48,Data!S48)))))</f>
        <v/>
      </c>
      <c r="E47" s="13">
        <f>IF(COUNT(Data!D48,Data!G48,Data!J48,Data!M48,Data!P48,Data!S48)&lt;6,"",IF(MAX(Data!D48,Data!G48,Data!J48,Data!M48,Data!P48,Data!S48)=MIN(Data!D48,Data!G48,Data!J48,Data!M48,Data!P48,Data!S48),"",IF(Data!$C48="Lower is better",100*(MAX(Data!D48,Data!G48,Data!J48,Data!M48,Data!P48,Data!S48)-Data!J48)/(MAX(Data!D48,Data!G48,Data!J48,Data!M48,Data!P48,Data!S48)-MIN(Data!D48,Data!G48,Data!J48,Data!M48,Data!P48,Data!S48)),100*(Data!J48-MIN(Data!D48,Data!G48,Data!J48,Data!M48,Data!P48,Data!S48))/(MAX(Data!D48,Data!G48,Data!J48,Data!M48,Data!P48,Data!S48)-MIN(Data!D48,Data!G48,Data!J48,Data!M48,Data!P48,Data!S48)))))</f>
        <v/>
      </c>
      <c r="F47" s="13">
        <f>IF(COUNT(Data!D48,Data!G48,Data!J48,Data!M48,Data!P48,Data!S48)&lt;6,"",IF(MAX(Data!D48,Data!G48,Data!J48,Data!M48,Data!P48,Data!S48)=MIN(Data!D48,Data!G48,Data!J48,Data!M48,Data!P48,Data!S48),"",IF(Data!$C48="Lower is better",100*(MAX(Data!D48,Data!G48,Data!J48,Data!M48,Data!P48,Data!S48)-Data!M48)/(MAX(Data!D48,Data!G48,Data!J48,Data!M48,Data!P48,Data!S48)-MIN(Data!D48,Data!G48,Data!J48,Data!M48,Data!P48,Data!S48)),100*(Data!M48-MIN(Data!D48,Data!G48,Data!J48,Data!M48,Data!P48,Data!S48))/(MAX(Data!D48,Data!G48,Data!J48,Data!M48,Data!P48,Data!S48)-MIN(Data!D48,Data!G48,Data!J48,Data!M48,Data!P48,Data!S48)))))</f>
        <v/>
      </c>
      <c r="G47" s="13">
        <f>IF(COUNT(Data!D48,Data!G48,Data!J48,Data!M48,Data!P48,Data!S48)&lt;6,"",IF(MAX(Data!D48,Data!G48,Data!J48,Data!M48,Data!P48,Data!S48)=MIN(Data!D48,Data!G48,Data!J48,Data!M48,Data!P48,Data!S48),"",IF(Data!$C48="Lower is better",100*(MAX(Data!D48,Data!G48,Data!J48,Data!M48,Data!P48,Data!S48)-Data!P48)/(MAX(Data!D48,Data!G48,Data!J48,Data!M48,Data!P48,Data!S48)-MIN(Data!D48,Data!G48,Data!J48,Data!M48,Data!P48,Data!S48)),100*(Data!P48-MIN(Data!D48,Data!G48,Data!J48,Data!M48,Data!P48,Data!S48))/(MAX(Data!D48,Data!G48,Data!J48,Data!M48,Data!P48,Data!S48)-MIN(Data!D48,Data!G48,Data!J48,Data!M48,Data!P48,Data!S48)))))</f>
        <v/>
      </c>
      <c r="H47" s="13">
        <f>IF(COUNT(Data!D48,Data!G48,Data!J48,Data!M48,Data!P48,Data!S48)&lt;6,"",IF(MAX(Data!D48,Data!G48,Data!J48,Data!M48,Data!P48,Data!S48)=MIN(Data!D48,Data!G48,Data!J48,Data!M48,Data!P48,Data!S48),"",IF(Data!$C48="Lower is better",100*(MAX(Data!D48,Data!G48,Data!J48,Data!M48,Data!P48,Data!S48)-Data!S48)/(MAX(Data!D48,Data!G48,Data!J48,Data!M48,Data!P48,Data!S48)-MIN(Data!D48,Data!G48,Data!J48,Data!M48,Data!P48,Data!S48)),100*(Data!S48-MIN(Data!D48,Data!G48,Data!J48,Data!M48,Data!P48,Data!S48))/(MAX(Data!D48,Data!G48,Data!J48,Data!M48,Data!P48,Data!S48)-MIN(Data!D48,Data!G48,Data!J48,Data!M48,Data!P48,Data!S48)))))</f>
        <v/>
      </c>
    </row>
    <row r="48">
      <c r="A48" s="8">
        <f>Indicators!A48</f>
        <v/>
      </c>
      <c r="B48" s="12">
        <f>Indicators!C48</f>
        <v/>
      </c>
      <c r="C48" s="13">
        <f>IF(COUNT(Data!D49,Data!G49,Data!J49,Data!M49,Data!P49,Data!S49)&lt;6,"",IF(MAX(Data!D49,Data!G49,Data!J49,Data!M49,Data!P49,Data!S49)=MIN(Data!D49,Data!G49,Data!J49,Data!M49,Data!P49,Data!S49),"",IF(Data!$C49="Lower is better",100*(MAX(Data!D49,Data!G49,Data!J49,Data!M49,Data!P49,Data!S49)-Data!D49)/(MAX(Data!D49,Data!G49,Data!J49,Data!M49,Data!P49,Data!S49)-MIN(Data!D49,Data!G49,Data!J49,Data!M49,Data!P49,Data!S49)),100*(Data!D49-MIN(Data!D49,Data!G49,Data!J49,Data!M49,Data!P49,Data!S49))/(MAX(Data!D49,Data!G49,Data!J49,Data!M49,Data!P49,Data!S49)-MIN(Data!D49,Data!G49,Data!J49,Data!M49,Data!P49,Data!S49)))))</f>
        <v/>
      </c>
      <c r="D48" s="13">
        <f>IF(COUNT(Data!D49,Data!G49,Data!J49,Data!M49,Data!P49,Data!S49)&lt;6,"",IF(MAX(Data!D49,Data!G49,Data!J49,Data!M49,Data!P49,Data!S49)=MIN(Data!D49,Data!G49,Data!J49,Data!M49,Data!P49,Data!S49),"",IF(Data!$C49="Lower is better",100*(MAX(Data!D49,Data!G49,Data!J49,Data!M49,Data!P49,Data!S49)-Data!G49)/(MAX(Data!D49,Data!G49,Data!J49,Data!M49,Data!P49,Data!S49)-MIN(Data!D49,Data!G49,Data!J49,Data!M49,Data!P49,Data!S49)),100*(Data!G49-MIN(Data!D49,Data!G49,Data!J49,Data!M49,Data!P49,Data!S49))/(MAX(Data!D49,Data!G49,Data!J49,Data!M49,Data!P49,Data!S49)-MIN(Data!D49,Data!G49,Data!J49,Data!M49,Data!P49,Data!S49)))))</f>
        <v/>
      </c>
      <c r="E48" s="13">
        <f>IF(COUNT(Data!D49,Data!G49,Data!J49,Data!M49,Data!P49,Data!S49)&lt;6,"",IF(MAX(Data!D49,Data!G49,Data!J49,Data!M49,Data!P49,Data!S49)=MIN(Data!D49,Data!G49,Data!J49,Data!M49,Data!P49,Data!S49),"",IF(Data!$C49="Lower is better",100*(MAX(Data!D49,Data!G49,Data!J49,Data!M49,Data!P49,Data!S49)-Data!J49)/(MAX(Data!D49,Data!G49,Data!J49,Data!M49,Data!P49,Data!S49)-MIN(Data!D49,Data!G49,Data!J49,Data!M49,Data!P49,Data!S49)),100*(Data!J49-MIN(Data!D49,Data!G49,Data!J49,Data!M49,Data!P49,Data!S49))/(MAX(Data!D49,Data!G49,Data!J49,Data!M49,Data!P49,Data!S49)-MIN(Data!D49,Data!G49,Data!J49,Data!M49,Data!P49,Data!S49)))))</f>
        <v/>
      </c>
      <c r="F48" s="13">
        <f>IF(COUNT(Data!D49,Data!G49,Data!J49,Data!M49,Data!P49,Data!S49)&lt;6,"",IF(MAX(Data!D49,Data!G49,Data!J49,Data!M49,Data!P49,Data!S49)=MIN(Data!D49,Data!G49,Data!J49,Data!M49,Data!P49,Data!S49),"",IF(Data!$C49="Lower is better",100*(MAX(Data!D49,Data!G49,Data!J49,Data!M49,Data!P49,Data!S49)-Data!M49)/(MAX(Data!D49,Data!G49,Data!J49,Data!M49,Data!P49,Data!S49)-MIN(Data!D49,Data!G49,Data!J49,Data!M49,Data!P49,Data!S49)),100*(Data!M49-MIN(Data!D49,Data!G49,Data!J49,Data!M49,Data!P49,Data!S49))/(MAX(Data!D49,Data!G49,Data!J49,Data!M49,Data!P49,Data!S49)-MIN(Data!D49,Data!G49,Data!J49,Data!M49,Data!P49,Data!S49)))))</f>
        <v/>
      </c>
      <c r="G48" s="13">
        <f>IF(COUNT(Data!D49,Data!G49,Data!J49,Data!M49,Data!P49,Data!S49)&lt;6,"",IF(MAX(Data!D49,Data!G49,Data!J49,Data!M49,Data!P49,Data!S49)=MIN(Data!D49,Data!G49,Data!J49,Data!M49,Data!P49,Data!S49),"",IF(Data!$C49="Lower is better",100*(MAX(Data!D49,Data!G49,Data!J49,Data!M49,Data!P49,Data!S49)-Data!P49)/(MAX(Data!D49,Data!G49,Data!J49,Data!M49,Data!P49,Data!S49)-MIN(Data!D49,Data!G49,Data!J49,Data!M49,Data!P49,Data!S49)),100*(Data!P49-MIN(Data!D49,Data!G49,Data!J49,Data!M49,Data!P49,Data!S49))/(MAX(Data!D49,Data!G49,Data!J49,Data!M49,Data!P49,Data!S49)-MIN(Data!D49,Data!G49,Data!J49,Data!M49,Data!P49,Data!S49)))))</f>
        <v/>
      </c>
      <c r="H48" s="13">
        <f>IF(COUNT(Data!D49,Data!G49,Data!J49,Data!M49,Data!P49,Data!S49)&lt;6,"",IF(MAX(Data!D49,Data!G49,Data!J49,Data!M49,Data!P49,Data!S49)=MIN(Data!D49,Data!G49,Data!J49,Data!M49,Data!P49,Data!S49),"",IF(Data!$C49="Lower is better",100*(MAX(Data!D49,Data!G49,Data!J49,Data!M49,Data!P49,Data!S49)-Data!S49)/(MAX(Data!D49,Data!G49,Data!J49,Data!M49,Data!P49,Data!S49)-MIN(Data!D49,Data!G49,Data!J49,Data!M49,Data!P49,Data!S49)),100*(Data!S49-MIN(Data!D49,Data!G49,Data!J49,Data!M49,Data!P49,Data!S49))/(MAX(Data!D49,Data!G49,Data!J49,Data!M49,Data!P49,Data!S49)-MIN(Data!D49,Data!G49,Data!J49,Data!M49,Data!P49,Data!S49)))))</f>
        <v/>
      </c>
    </row>
  </sheetData>
  <sheetProtection selectLockedCells="0" selectUnlockedCells="0" sheet="1" objects="0" insertRows="1" insertHyperlinks="1" autoFilter="1" scenarios="0" formatColumns="0" deleteColumns="1" insertColumns="1" pivotTables="1" deleteRows="1" formatCells="1" formatRows="0" sort="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48"/>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T-scores (z-scores rescaled: 50 + 10 x z, direction respected)</t>
        </is>
      </c>
    </row>
    <row r="2">
      <c r="A2" s="2" t="inlineStr">
        <is>
          <t>z = (value - mean) / standard deviation of the six countries; T = 50 + 10 x z. 50 = average of the six countries, 60 = one standard deviation better. Not capped at 0 or 100.</t>
        </is>
      </c>
    </row>
    <row r="3">
      <c r="A3" s="5" t="inlineStr">
        <is>
          <t>ID</t>
        </is>
      </c>
      <c r="B3" s="5" t="inlineStr">
        <is>
          <t>Indicator</t>
        </is>
      </c>
      <c r="C3" s="5" t="inlineStr">
        <is>
          <t>Argentina</t>
        </is>
      </c>
      <c r="D3" s="5" t="inlineStr">
        <is>
          <t>Brazil</t>
        </is>
      </c>
      <c r="E3" s="5" t="inlineStr">
        <is>
          <t>Chile</t>
        </is>
      </c>
      <c r="F3" s="5" t="inlineStr">
        <is>
          <t>Colombia</t>
        </is>
      </c>
      <c r="G3" s="5" t="inlineStr">
        <is>
          <t>Mexico</t>
        </is>
      </c>
      <c r="H3" s="5" t="inlineStr">
        <is>
          <t>Uruguay</t>
        </is>
      </c>
    </row>
    <row r="4">
      <c r="A4" s="8">
        <f>Indicators!A4</f>
        <v/>
      </c>
      <c r="B4" s="12">
        <f>Indicators!C4</f>
        <v/>
      </c>
      <c r="C4" s="13">
        <f>IF(COUNT(Data!D5,Data!G5,Data!J5,Data!M5,Data!P5,Data!S5)&lt;6,"",IF(STDEVP(Data!D5,Data!G5,Data!J5,Data!M5,Data!P5,Data!S5)=0,"",IF(Data!$C5="Lower is better",-1,1)*(Data!D5-AVERAGE(Data!D5,Data!G5,Data!J5,Data!M5,Data!P5,Data!S5))/STDEVP(Data!D5,Data!G5,Data!J5,Data!M5,Data!P5,Data!S5)*10+50))</f>
        <v/>
      </c>
      <c r="D4" s="13">
        <f>IF(COUNT(Data!D5,Data!G5,Data!J5,Data!M5,Data!P5,Data!S5)&lt;6,"",IF(STDEVP(Data!D5,Data!G5,Data!J5,Data!M5,Data!P5,Data!S5)=0,"",IF(Data!$C5="Lower is better",-1,1)*(Data!G5-AVERAGE(Data!D5,Data!G5,Data!J5,Data!M5,Data!P5,Data!S5))/STDEVP(Data!D5,Data!G5,Data!J5,Data!M5,Data!P5,Data!S5)*10+50))</f>
        <v/>
      </c>
      <c r="E4" s="13">
        <f>IF(COUNT(Data!D5,Data!G5,Data!J5,Data!M5,Data!P5,Data!S5)&lt;6,"",IF(STDEVP(Data!D5,Data!G5,Data!J5,Data!M5,Data!P5,Data!S5)=0,"",IF(Data!$C5="Lower is better",-1,1)*(Data!J5-AVERAGE(Data!D5,Data!G5,Data!J5,Data!M5,Data!P5,Data!S5))/STDEVP(Data!D5,Data!G5,Data!J5,Data!M5,Data!P5,Data!S5)*10+50))</f>
        <v/>
      </c>
      <c r="F4" s="13">
        <f>IF(COUNT(Data!D5,Data!G5,Data!J5,Data!M5,Data!P5,Data!S5)&lt;6,"",IF(STDEVP(Data!D5,Data!G5,Data!J5,Data!M5,Data!P5,Data!S5)=0,"",IF(Data!$C5="Lower is better",-1,1)*(Data!M5-AVERAGE(Data!D5,Data!G5,Data!J5,Data!M5,Data!P5,Data!S5))/STDEVP(Data!D5,Data!G5,Data!J5,Data!M5,Data!P5,Data!S5)*10+50))</f>
        <v/>
      </c>
      <c r="G4" s="13">
        <f>IF(COUNT(Data!D5,Data!G5,Data!J5,Data!M5,Data!P5,Data!S5)&lt;6,"",IF(STDEVP(Data!D5,Data!G5,Data!J5,Data!M5,Data!P5,Data!S5)=0,"",IF(Data!$C5="Lower is better",-1,1)*(Data!P5-AVERAGE(Data!D5,Data!G5,Data!J5,Data!M5,Data!P5,Data!S5))/STDEVP(Data!D5,Data!G5,Data!J5,Data!M5,Data!P5,Data!S5)*10+50))</f>
        <v/>
      </c>
      <c r="H4" s="13">
        <f>IF(COUNT(Data!D5,Data!G5,Data!J5,Data!M5,Data!P5,Data!S5)&lt;6,"",IF(STDEVP(Data!D5,Data!G5,Data!J5,Data!M5,Data!P5,Data!S5)=0,"",IF(Data!$C5="Lower is better",-1,1)*(Data!S5-AVERAGE(Data!D5,Data!G5,Data!J5,Data!M5,Data!P5,Data!S5))/STDEVP(Data!D5,Data!G5,Data!J5,Data!M5,Data!P5,Data!S5)*10+50))</f>
        <v/>
      </c>
    </row>
    <row r="5">
      <c r="A5" s="8">
        <f>Indicators!A5</f>
        <v/>
      </c>
      <c r="B5" s="12">
        <f>Indicators!C5</f>
        <v/>
      </c>
      <c r="C5" s="13">
        <f>IF(COUNT(Data!D6,Data!G6,Data!J6,Data!M6,Data!P6,Data!S6)&lt;6,"",IF(STDEVP(Data!D6,Data!G6,Data!J6,Data!M6,Data!P6,Data!S6)=0,"",IF(Data!$C6="Lower is better",-1,1)*(Data!D6-AVERAGE(Data!D6,Data!G6,Data!J6,Data!M6,Data!P6,Data!S6))/STDEVP(Data!D6,Data!G6,Data!J6,Data!M6,Data!P6,Data!S6)*10+50))</f>
        <v/>
      </c>
      <c r="D5" s="13">
        <f>IF(COUNT(Data!D6,Data!G6,Data!J6,Data!M6,Data!P6,Data!S6)&lt;6,"",IF(STDEVP(Data!D6,Data!G6,Data!J6,Data!M6,Data!P6,Data!S6)=0,"",IF(Data!$C6="Lower is better",-1,1)*(Data!G6-AVERAGE(Data!D6,Data!G6,Data!J6,Data!M6,Data!P6,Data!S6))/STDEVP(Data!D6,Data!G6,Data!J6,Data!M6,Data!P6,Data!S6)*10+50))</f>
        <v/>
      </c>
      <c r="E5" s="13">
        <f>IF(COUNT(Data!D6,Data!G6,Data!J6,Data!M6,Data!P6,Data!S6)&lt;6,"",IF(STDEVP(Data!D6,Data!G6,Data!J6,Data!M6,Data!P6,Data!S6)=0,"",IF(Data!$C6="Lower is better",-1,1)*(Data!J6-AVERAGE(Data!D6,Data!G6,Data!J6,Data!M6,Data!P6,Data!S6))/STDEVP(Data!D6,Data!G6,Data!J6,Data!M6,Data!P6,Data!S6)*10+50))</f>
        <v/>
      </c>
      <c r="F5" s="13">
        <f>IF(COUNT(Data!D6,Data!G6,Data!J6,Data!M6,Data!P6,Data!S6)&lt;6,"",IF(STDEVP(Data!D6,Data!G6,Data!J6,Data!M6,Data!P6,Data!S6)=0,"",IF(Data!$C6="Lower is better",-1,1)*(Data!M6-AVERAGE(Data!D6,Data!G6,Data!J6,Data!M6,Data!P6,Data!S6))/STDEVP(Data!D6,Data!G6,Data!J6,Data!M6,Data!P6,Data!S6)*10+50))</f>
        <v/>
      </c>
      <c r="G5" s="13">
        <f>IF(COUNT(Data!D6,Data!G6,Data!J6,Data!M6,Data!P6,Data!S6)&lt;6,"",IF(STDEVP(Data!D6,Data!G6,Data!J6,Data!M6,Data!P6,Data!S6)=0,"",IF(Data!$C6="Lower is better",-1,1)*(Data!P6-AVERAGE(Data!D6,Data!G6,Data!J6,Data!M6,Data!P6,Data!S6))/STDEVP(Data!D6,Data!G6,Data!J6,Data!M6,Data!P6,Data!S6)*10+50))</f>
        <v/>
      </c>
      <c r="H5" s="13">
        <f>IF(COUNT(Data!D6,Data!G6,Data!J6,Data!M6,Data!P6,Data!S6)&lt;6,"",IF(STDEVP(Data!D6,Data!G6,Data!J6,Data!M6,Data!P6,Data!S6)=0,"",IF(Data!$C6="Lower is better",-1,1)*(Data!S6-AVERAGE(Data!D6,Data!G6,Data!J6,Data!M6,Data!P6,Data!S6))/STDEVP(Data!D6,Data!G6,Data!J6,Data!M6,Data!P6,Data!S6)*10+50))</f>
        <v/>
      </c>
    </row>
    <row r="6">
      <c r="A6" s="8">
        <f>Indicators!A6</f>
        <v/>
      </c>
      <c r="B6" s="12">
        <f>Indicators!C6</f>
        <v/>
      </c>
      <c r="C6" s="13">
        <f>IF(COUNT(Data!D7,Data!G7,Data!J7,Data!M7,Data!P7,Data!S7)&lt;6,"",IF(STDEVP(Data!D7,Data!G7,Data!J7,Data!M7,Data!P7,Data!S7)=0,"",IF(Data!$C7="Lower is better",-1,1)*(Data!D7-AVERAGE(Data!D7,Data!G7,Data!J7,Data!M7,Data!P7,Data!S7))/STDEVP(Data!D7,Data!G7,Data!J7,Data!M7,Data!P7,Data!S7)*10+50))</f>
        <v/>
      </c>
      <c r="D6" s="13">
        <f>IF(COUNT(Data!D7,Data!G7,Data!J7,Data!M7,Data!P7,Data!S7)&lt;6,"",IF(STDEVP(Data!D7,Data!G7,Data!J7,Data!M7,Data!P7,Data!S7)=0,"",IF(Data!$C7="Lower is better",-1,1)*(Data!G7-AVERAGE(Data!D7,Data!G7,Data!J7,Data!M7,Data!P7,Data!S7))/STDEVP(Data!D7,Data!G7,Data!J7,Data!M7,Data!P7,Data!S7)*10+50))</f>
        <v/>
      </c>
      <c r="E6" s="13">
        <f>IF(COUNT(Data!D7,Data!G7,Data!J7,Data!M7,Data!P7,Data!S7)&lt;6,"",IF(STDEVP(Data!D7,Data!G7,Data!J7,Data!M7,Data!P7,Data!S7)=0,"",IF(Data!$C7="Lower is better",-1,1)*(Data!J7-AVERAGE(Data!D7,Data!G7,Data!J7,Data!M7,Data!P7,Data!S7))/STDEVP(Data!D7,Data!G7,Data!J7,Data!M7,Data!P7,Data!S7)*10+50))</f>
        <v/>
      </c>
      <c r="F6" s="13">
        <f>IF(COUNT(Data!D7,Data!G7,Data!J7,Data!M7,Data!P7,Data!S7)&lt;6,"",IF(STDEVP(Data!D7,Data!G7,Data!J7,Data!M7,Data!P7,Data!S7)=0,"",IF(Data!$C7="Lower is better",-1,1)*(Data!M7-AVERAGE(Data!D7,Data!G7,Data!J7,Data!M7,Data!P7,Data!S7))/STDEVP(Data!D7,Data!G7,Data!J7,Data!M7,Data!P7,Data!S7)*10+50))</f>
        <v/>
      </c>
      <c r="G6" s="13">
        <f>IF(COUNT(Data!D7,Data!G7,Data!J7,Data!M7,Data!P7,Data!S7)&lt;6,"",IF(STDEVP(Data!D7,Data!G7,Data!J7,Data!M7,Data!P7,Data!S7)=0,"",IF(Data!$C7="Lower is better",-1,1)*(Data!P7-AVERAGE(Data!D7,Data!G7,Data!J7,Data!M7,Data!P7,Data!S7))/STDEVP(Data!D7,Data!G7,Data!J7,Data!M7,Data!P7,Data!S7)*10+50))</f>
        <v/>
      </c>
      <c r="H6" s="13">
        <f>IF(COUNT(Data!D7,Data!G7,Data!J7,Data!M7,Data!P7,Data!S7)&lt;6,"",IF(STDEVP(Data!D7,Data!G7,Data!J7,Data!M7,Data!P7,Data!S7)=0,"",IF(Data!$C7="Lower is better",-1,1)*(Data!S7-AVERAGE(Data!D7,Data!G7,Data!J7,Data!M7,Data!P7,Data!S7))/STDEVP(Data!D7,Data!G7,Data!J7,Data!M7,Data!P7,Data!S7)*10+50))</f>
        <v/>
      </c>
    </row>
    <row r="7">
      <c r="A7" s="8">
        <f>Indicators!A7</f>
        <v/>
      </c>
      <c r="B7" s="12">
        <f>Indicators!C7</f>
        <v/>
      </c>
      <c r="C7" s="13">
        <f>IF(COUNT(Data!D8,Data!G8,Data!J8,Data!M8,Data!P8,Data!S8)&lt;6,"",IF(STDEVP(Data!D8,Data!G8,Data!J8,Data!M8,Data!P8,Data!S8)=0,"",IF(Data!$C8="Lower is better",-1,1)*(Data!D8-AVERAGE(Data!D8,Data!G8,Data!J8,Data!M8,Data!P8,Data!S8))/STDEVP(Data!D8,Data!G8,Data!J8,Data!M8,Data!P8,Data!S8)*10+50))</f>
        <v/>
      </c>
      <c r="D7" s="13">
        <f>IF(COUNT(Data!D8,Data!G8,Data!J8,Data!M8,Data!P8,Data!S8)&lt;6,"",IF(STDEVP(Data!D8,Data!G8,Data!J8,Data!M8,Data!P8,Data!S8)=0,"",IF(Data!$C8="Lower is better",-1,1)*(Data!G8-AVERAGE(Data!D8,Data!G8,Data!J8,Data!M8,Data!P8,Data!S8))/STDEVP(Data!D8,Data!G8,Data!J8,Data!M8,Data!P8,Data!S8)*10+50))</f>
        <v/>
      </c>
      <c r="E7" s="13">
        <f>IF(COUNT(Data!D8,Data!G8,Data!J8,Data!M8,Data!P8,Data!S8)&lt;6,"",IF(STDEVP(Data!D8,Data!G8,Data!J8,Data!M8,Data!P8,Data!S8)=0,"",IF(Data!$C8="Lower is better",-1,1)*(Data!J8-AVERAGE(Data!D8,Data!G8,Data!J8,Data!M8,Data!P8,Data!S8))/STDEVP(Data!D8,Data!G8,Data!J8,Data!M8,Data!P8,Data!S8)*10+50))</f>
        <v/>
      </c>
      <c r="F7" s="13">
        <f>IF(COUNT(Data!D8,Data!G8,Data!J8,Data!M8,Data!P8,Data!S8)&lt;6,"",IF(STDEVP(Data!D8,Data!G8,Data!J8,Data!M8,Data!P8,Data!S8)=0,"",IF(Data!$C8="Lower is better",-1,1)*(Data!M8-AVERAGE(Data!D8,Data!G8,Data!J8,Data!M8,Data!P8,Data!S8))/STDEVP(Data!D8,Data!G8,Data!J8,Data!M8,Data!P8,Data!S8)*10+50))</f>
        <v/>
      </c>
      <c r="G7" s="13">
        <f>IF(COUNT(Data!D8,Data!G8,Data!J8,Data!M8,Data!P8,Data!S8)&lt;6,"",IF(STDEVP(Data!D8,Data!G8,Data!J8,Data!M8,Data!P8,Data!S8)=0,"",IF(Data!$C8="Lower is better",-1,1)*(Data!P8-AVERAGE(Data!D8,Data!G8,Data!J8,Data!M8,Data!P8,Data!S8))/STDEVP(Data!D8,Data!G8,Data!J8,Data!M8,Data!P8,Data!S8)*10+50))</f>
        <v/>
      </c>
      <c r="H7" s="13">
        <f>IF(COUNT(Data!D8,Data!G8,Data!J8,Data!M8,Data!P8,Data!S8)&lt;6,"",IF(STDEVP(Data!D8,Data!G8,Data!J8,Data!M8,Data!P8,Data!S8)=0,"",IF(Data!$C8="Lower is better",-1,1)*(Data!S8-AVERAGE(Data!D8,Data!G8,Data!J8,Data!M8,Data!P8,Data!S8))/STDEVP(Data!D8,Data!G8,Data!J8,Data!M8,Data!P8,Data!S8)*10+50))</f>
        <v/>
      </c>
    </row>
    <row r="8">
      <c r="A8" s="8">
        <f>Indicators!A8</f>
        <v/>
      </c>
      <c r="B8" s="12">
        <f>Indicators!C8</f>
        <v/>
      </c>
      <c r="C8" s="13">
        <f>IF(COUNT(Data!D9,Data!G9,Data!J9,Data!M9,Data!P9,Data!S9)&lt;6,"",IF(STDEVP(Data!D9,Data!G9,Data!J9,Data!M9,Data!P9,Data!S9)=0,"",IF(Data!$C9="Lower is better",-1,1)*(Data!D9-AVERAGE(Data!D9,Data!G9,Data!J9,Data!M9,Data!P9,Data!S9))/STDEVP(Data!D9,Data!G9,Data!J9,Data!M9,Data!P9,Data!S9)*10+50))</f>
        <v/>
      </c>
      <c r="D8" s="13">
        <f>IF(COUNT(Data!D9,Data!G9,Data!J9,Data!M9,Data!P9,Data!S9)&lt;6,"",IF(STDEVP(Data!D9,Data!G9,Data!J9,Data!M9,Data!P9,Data!S9)=0,"",IF(Data!$C9="Lower is better",-1,1)*(Data!G9-AVERAGE(Data!D9,Data!G9,Data!J9,Data!M9,Data!P9,Data!S9))/STDEVP(Data!D9,Data!G9,Data!J9,Data!M9,Data!P9,Data!S9)*10+50))</f>
        <v/>
      </c>
      <c r="E8" s="13">
        <f>IF(COUNT(Data!D9,Data!G9,Data!J9,Data!M9,Data!P9,Data!S9)&lt;6,"",IF(STDEVP(Data!D9,Data!G9,Data!J9,Data!M9,Data!P9,Data!S9)=0,"",IF(Data!$C9="Lower is better",-1,1)*(Data!J9-AVERAGE(Data!D9,Data!G9,Data!J9,Data!M9,Data!P9,Data!S9))/STDEVP(Data!D9,Data!G9,Data!J9,Data!M9,Data!P9,Data!S9)*10+50))</f>
        <v/>
      </c>
      <c r="F8" s="13">
        <f>IF(COUNT(Data!D9,Data!G9,Data!J9,Data!M9,Data!P9,Data!S9)&lt;6,"",IF(STDEVP(Data!D9,Data!G9,Data!J9,Data!M9,Data!P9,Data!S9)=0,"",IF(Data!$C9="Lower is better",-1,1)*(Data!M9-AVERAGE(Data!D9,Data!G9,Data!J9,Data!M9,Data!P9,Data!S9))/STDEVP(Data!D9,Data!G9,Data!J9,Data!M9,Data!P9,Data!S9)*10+50))</f>
        <v/>
      </c>
      <c r="G8" s="13">
        <f>IF(COUNT(Data!D9,Data!G9,Data!J9,Data!M9,Data!P9,Data!S9)&lt;6,"",IF(STDEVP(Data!D9,Data!G9,Data!J9,Data!M9,Data!P9,Data!S9)=0,"",IF(Data!$C9="Lower is better",-1,1)*(Data!P9-AVERAGE(Data!D9,Data!G9,Data!J9,Data!M9,Data!P9,Data!S9))/STDEVP(Data!D9,Data!G9,Data!J9,Data!M9,Data!P9,Data!S9)*10+50))</f>
        <v/>
      </c>
      <c r="H8" s="13">
        <f>IF(COUNT(Data!D9,Data!G9,Data!J9,Data!M9,Data!P9,Data!S9)&lt;6,"",IF(STDEVP(Data!D9,Data!G9,Data!J9,Data!M9,Data!P9,Data!S9)=0,"",IF(Data!$C9="Lower is better",-1,1)*(Data!S9-AVERAGE(Data!D9,Data!G9,Data!J9,Data!M9,Data!P9,Data!S9))/STDEVP(Data!D9,Data!G9,Data!J9,Data!M9,Data!P9,Data!S9)*10+50))</f>
        <v/>
      </c>
    </row>
    <row r="9">
      <c r="A9" s="8">
        <f>Indicators!A9</f>
        <v/>
      </c>
      <c r="B9" s="12">
        <f>Indicators!C9</f>
        <v/>
      </c>
      <c r="C9" s="13">
        <f>IF(COUNT(Data!D10,Data!G10,Data!J10,Data!M10,Data!P10,Data!S10)&lt;6,"",IF(STDEVP(Data!D10,Data!G10,Data!J10,Data!M10,Data!P10,Data!S10)=0,"",IF(Data!$C10="Lower is better",-1,1)*(Data!D10-AVERAGE(Data!D10,Data!G10,Data!J10,Data!M10,Data!P10,Data!S10))/STDEVP(Data!D10,Data!G10,Data!J10,Data!M10,Data!P10,Data!S10)*10+50))</f>
        <v/>
      </c>
      <c r="D9" s="13">
        <f>IF(COUNT(Data!D10,Data!G10,Data!J10,Data!M10,Data!P10,Data!S10)&lt;6,"",IF(STDEVP(Data!D10,Data!G10,Data!J10,Data!M10,Data!P10,Data!S10)=0,"",IF(Data!$C10="Lower is better",-1,1)*(Data!G10-AVERAGE(Data!D10,Data!G10,Data!J10,Data!M10,Data!P10,Data!S10))/STDEVP(Data!D10,Data!G10,Data!J10,Data!M10,Data!P10,Data!S10)*10+50))</f>
        <v/>
      </c>
      <c r="E9" s="13">
        <f>IF(COUNT(Data!D10,Data!G10,Data!J10,Data!M10,Data!P10,Data!S10)&lt;6,"",IF(STDEVP(Data!D10,Data!G10,Data!J10,Data!M10,Data!P10,Data!S10)=0,"",IF(Data!$C10="Lower is better",-1,1)*(Data!J10-AVERAGE(Data!D10,Data!G10,Data!J10,Data!M10,Data!P10,Data!S10))/STDEVP(Data!D10,Data!G10,Data!J10,Data!M10,Data!P10,Data!S10)*10+50))</f>
        <v/>
      </c>
      <c r="F9" s="13">
        <f>IF(COUNT(Data!D10,Data!G10,Data!J10,Data!M10,Data!P10,Data!S10)&lt;6,"",IF(STDEVP(Data!D10,Data!G10,Data!J10,Data!M10,Data!P10,Data!S10)=0,"",IF(Data!$C10="Lower is better",-1,1)*(Data!M10-AVERAGE(Data!D10,Data!G10,Data!J10,Data!M10,Data!P10,Data!S10))/STDEVP(Data!D10,Data!G10,Data!J10,Data!M10,Data!P10,Data!S10)*10+50))</f>
        <v/>
      </c>
      <c r="G9" s="13">
        <f>IF(COUNT(Data!D10,Data!G10,Data!J10,Data!M10,Data!P10,Data!S10)&lt;6,"",IF(STDEVP(Data!D10,Data!G10,Data!J10,Data!M10,Data!P10,Data!S10)=0,"",IF(Data!$C10="Lower is better",-1,1)*(Data!P10-AVERAGE(Data!D10,Data!G10,Data!J10,Data!M10,Data!P10,Data!S10))/STDEVP(Data!D10,Data!G10,Data!J10,Data!M10,Data!P10,Data!S10)*10+50))</f>
        <v/>
      </c>
      <c r="H9" s="13">
        <f>IF(COUNT(Data!D10,Data!G10,Data!J10,Data!M10,Data!P10,Data!S10)&lt;6,"",IF(STDEVP(Data!D10,Data!G10,Data!J10,Data!M10,Data!P10,Data!S10)=0,"",IF(Data!$C10="Lower is better",-1,1)*(Data!S10-AVERAGE(Data!D10,Data!G10,Data!J10,Data!M10,Data!P10,Data!S10))/STDEVP(Data!D10,Data!G10,Data!J10,Data!M10,Data!P10,Data!S10)*10+50))</f>
        <v/>
      </c>
    </row>
    <row r="10">
      <c r="A10" s="8">
        <f>Indicators!A10</f>
        <v/>
      </c>
      <c r="B10" s="12">
        <f>Indicators!C10</f>
        <v/>
      </c>
      <c r="C10" s="13">
        <f>IF(COUNT(Data!D11,Data!G11,Data!J11,Data!M11,Data!P11,Data!S11)&lt;6,"",IF(STDEVP(Data!D11,Data!G11,Data!J11,Data!M11,Data!P11,Data!S11)=0,"",IF(Data!$C11="Lower is better",-1,1)*(Data!D11-AVERAGE(Data!D11,Data!G11,Data!J11,Data!M11,Data!P11,Data!S11))/STDEVP(Data!D11,Data!G11,Data!J11,Data!M11,Data!P11,Data!S11)*10+50))</f>
        <v/>
      </c>
      <c r="D10" s="13">
        <f>IF(COUNT(Data!D11,Data!G11,Data!J11,Data!M11,Data!P11,Data!S11)&lt;6,"",IF(STDEVP(Data!D11,Data!G11,Data!J11,Data!M11,Data!P11,Data!S11)=0,"",IF(Data!$C11="Lower is better",-1,1)*(Data!G11-AVERAGE(Data!D11,Data!G11,Data!J11,Data!M11,Data!P11,Data!S11))/STDEVP(Data!D11,Data!G11,Data!J11,Data!M11,Data!P11,Data!S11)*10+50))</f>
        <v/>
      </c>
      <c r="E10" s="13">
        <f>IF(COUNT(Data!D11,Data!G11,Data!J11,Data!M11,Data!P11,Data!S11)&lt;6,"",IF(STDEVP(Data!D11,Data!G11,Data!J11,Data!M11,Data!P11,Data!S11)=0,"",IF(Data!$C11="Lower is better",-1,1)*(Data!J11-AVERAGE(Data!D11,Data!G11,Data!J11,Data!M11,Data!P11,Data!S11))/STDEVP(Data!D11,Data!G11,Data!J11,Data!M11,Data!P11,Data!S11)*10+50))</f>
        <v/>
      </c>
      <c r="F10" s="13">
        <f>IF(COUNT(Data!D11,Data!G11,Data!J11,Data!M11,Data!P11,Data!S11)&lt;6,"",IF(STDEVP(Data!D11,Data!G11,Data!J11,Data!M11,Data!P11,Data!S11)=0,"",IF(Data!$C11="Lower is better",-1,1)*(Data!M11-AVERAGE(Data!D11,Data!G11,Data!J11,Data!M11,Data!P11,Data!S11))/STDEVP(Data!D11,Data!G11,Data!J11,Data!M11,Data!P11,Data!S11)*10+50))</f>
        <v/>
      </c>
      <c r="G10" s="13">
        <f>IF(COUNT(Data!D11,Data!G11,Data!J11,Data!M11,Data!P11,Data!S11)&lt;6,"",IF(STDEVP(Data!D11,Data!G11,Data!J11,Data!M11,Data!P11,Data!S11)=0,"",IF(Data!$C11="Lower is better",-1,1)*(Data!P11-AVERAGE(Data!D11,Data!G11,Data!J11,Data!M11,Data!P11,Data!S11))/STDEVP(Data!D11,Data!G11,Data!J11,Data!M11,Data!P11,Data!S11)*10+50))</f>
        <v/>
      </c>
      <c r="H10" s="13">
        <f>IF(COUNT(Data!D11,Data!G11,Data!J11,Data!M11,Data!P11,Data!S11)&lt;6,"",IF(STDEVP(Data!D11,Data!G11,Data!J11,Data!M11,Data!P11,Data!S11)=0,"",IF(Data!$C11="Lower is better",-1,1)*(Data!S11-AVERAGE(Data!D11,Data!G11,Data!J11,Data!M11,Data!P11,Data!S11))/STDEVP(Data!D11,Data!G11,Data!J11,Data!M11,Data!P11,Data!S11)*10+50))</f>
        <v/>
      </c>
    </row>
    <row r="11">
      <c r="A11" s="8">
        <f>Indicators!A11</f>
        <v/>
      </c>
      <c r="B11" s="12">
        <f>Indicators!C11</f>
        <v/>
      </c>
      <c r="C11" s="13">
        <f>IF(COUNT(Data!D12,Data!G12,Data!J12,Data!M12,Data!P12,Data!S12)&lt;6,"",IF(STDEVP(Data!D12,Data!G12,Data!J12,Data!M12,Data!P12,Data!S12)=0,"",IF(Data!$C12="Lower is better",-1,1)*(Data!D12-AVERAGE(Data!D12,Data!G12,Data!J12,Data!M12,Data!P12,Data!S12))/STDEVP(Data!D12,Data!G12,Data!J12,Data!M12,Data!P12,Data!S12)*10+50))</f>
        <v/>
      </c>
      <c r="D11" s="13">
        <f>IF(COUNT(Data!D12,Data!G12,Data!J12,Data!M12,Data!P12,Data!S12)&lt;6,"",IF(STDEVP(Data!D12,Data!G12,Data!J12,Data!M12,Data!P12,Data!S12)=0,"",IF(Data!$C12="Lower is better",-1,1)*(Data!G12-AVERAGE(Data!D12,Data!G12,Data!J12,Data!M12,Data!P12,Data!S12))/STDEVP(Data!D12,Data!G12,Data!J12,Data!M12,Data!P12,Data!S12)*10+50))</f>
        <v/>
      </c>
      <c r="E11" s="13">
        <f>IF(COUNT(Data!D12,Data!G12,Data!J12,Data!M12,Data!P12,Data!S12)&lt;6,"",IF(STDEVP(Data!D12,Data!G12,Data!J12,Data!M12,Data!P12,Data!S12)=0,"",IF(Data!$C12="Lower is better",-1,1)*(Data!J12-AVERAGE(Data!D12,Data!G12,Data!J12,Data!M12,Data!P12,Data!S12))/STDEVP(Data!D12,Data!G12,Data!J12,Data!M12,Data!P12,Data!S12)*10+50))</f>
        <v/>
      </c>
      <c r="F11" s="13">
        <f>IF(COUNT(Data!D12,Data!G12,Data!J12,Data!M12,Data!P12,Data!S12)&lt;6,"",IF(STDEVP(Data!D12,Data!G12,Data!J12,Data!M12,Data!P12,Data!S12)=0,"",IF(Data!$C12="Lower is better",-1,1)*(Data!M12-AVERAGE(Data!D12,Data!G12,Data!J12,Data!M12,Data!P12,Data!S12))/STDEVP(Data!D12,Data!G12,Data!J12,Data!M12,Data!P12,Data!S12)*10+50))</f>
        <v/>
      </c>
      <c r="G11" s="13">
        <f>IF(COUNT(Data!D12,Data!G12,Data!J12,Data!M12,Data!P12,Data!S12)&lt;6,"",IF(STDEVP(Data!D12,Data!G12,Data!J12,Data!M12,Data!P12,Data!S12)=0,"",IF(Data!$C12="Lower is better",-1,1)*(Data!P12-AVERAGE(Data!D12,Data!G12,Data!J12,Data!M12,Data!P12,Data!S12))/STDEVP(Data!D12,Data!G12,Data!J12,Data!M12,Data!P12,Data!S12)*10+50))</f>
        <v/>
      </c>
      <c r="H11" s="13">
        <f>IF(COUNT(Data!D12,Data!G12,Data!J12,Data!M12,Data!P12,Data!S12)&lt;6,"",IF(STDEVP(Data!D12,Data!G12,Data!J12,Data!M12,Data!P12,Data!S12)=0,"",IF(Data!$C12="Lower is better",-1,1)*(Data!S12-AVERAGE(Data!D12,Data!G12,Data!J12,Data!M12,Data!P12,Data!S12))/STDEVP(Data!D12,Data!G12,Data!J12,Data!M12,Data!P12,Data!S12)*10+50))</f>
        <v/>
      </c>
    </row>
    <row r="12">
      <c r="A12" s="8">
        <f>Indicators!A12</f>
        <v/>
      </c>
      <c r="B12" s="12">
        <f>Indicators!C12</f>
        <v/>
      </c>
      <c r="C12" s="13">
        <f>IF(COUNT(Data!D13,Data!G13,Data!J13,Data!M13,Data!P13,Data!S13)&lt;6,"",IF(STDEVP(Data!D13,Data!G13,Data!J13,Data!M13,Data!P13,Data!S13)=0,"",IF(Data!$C13="Lower is better",-1,1)*(Data!D13-AVERAGE(Data!D13,Data!G13,Data!J13,Data!M13,Data!P13,Data!S13))/STDEVP(Data!D13,Data!G13,Data!J13,Data!M13,Data!P13,Data!S13)*10+50))</f>
        <v/>
      </c>
      <c r="D12" s="13">
        <f>IF(COUNT(Data!D13,Data!G13,Data!J13,Data!M13,Data!P13,Data!S13)&lt;6,"",IF(STDEVP(Data!D13,Data!G13,Data!J13,Data!M13,Data!P13,Data!S13)=0,"",IF(Data!$C13="Lower is better",-1,1)*(Data!G13-AVERAGE(Data!D13,Data!G13,Data!J13,Data!M13,Data!P13,Data!S13))/STDEVP(Data!D13,Data!G13,Data!J13,Data!M13,Data!P13,Data!S13)*10+50))</f>
        <v/>
      </c>
      <c r="E12" s="13">
        <f>IF(COUNT(Data!D13,Data!G13,Data!J13,Data!M13,Data!P13,Data!S13)&lt;6,"",IF(STDEVP(Data!D13,Data!G13,Data!J13,Data!M13,Data!P13,Data!S13)=0,"",IF(Data!$C13="Lower is better",-1,1)*(Data!J13-AVERAGE(Data!D13,Data!G13,Data!J13,Data!M13,Data!P13,Data!S13))/STDEVP(Data!D13,Data!G13,Data!J13,Data!M13,Data!P13,Data!S13)*10+50))</f>
        <v/>
      </c>
      <c r="F12" s="13">
        <f>IF(COUNT(Data!D13,Data!G13,Data!J13,Data!M13,Data!P13,Data!S13)&lt;6,"",IF(STDEVP(Data!D13,Data!G13,Data!J13,Data!M13,Data!P13,Data!S13)=0,"",IF(Data!$C13="Lower is better",-1,1)*(Data!M13-AVERAGE(Data!D13,Data!G13,Data!J13,Data!M13,Data!P13,Data!S13))/STDEVP(Data!D13,Data!G13,Data!J13,Data!M13,Data!P13,Data!S13)*10+50))</f>
        <v/>
      </c>
      <c r="G12" s="13">
        <f>IF(COUNT(Data!D13,Data!G13,Data!J13,Data!M13,Data!P13,Data!S13)&lt;6,"",IF(STDEVP(Data!D13,Data!G13,Data!J13,Data!M13,Data!P13,Data!S13)=0,"",IF(Data!$C13="Lower is better",-1,1)*(Data!P13-AVERAGE(Data!D13,Data!G13,Data!J13,Data!M13,Data!P13,Data!S13))/STDEVP(Data!D13,Data!G13,Data!J13,Data!M13,Data!P13,Data!S13)*10+50))</f>
        <v/>
      </c>
      <c r="H12" s="13">
        <f>IF(COUNT(Data!D13,Data!G13,Data!J13,Data!M13,Data!P13,Data!S13)&lt;6,"",IF(STDEVP(Data!D13,Data!G13,Data!J13,Data!M13,Data!P13,Data!S13)=0,"",IF(Data!$C13="Lower is better",-1,1)*(Data!S13-AVERAGE(Data!D13,Data!G13,Data!J13,Data!M13,Data!P13,Data!S13))/STDEVP(Data!D13,Data!G13,Data!J13,Data!M13,Data!P13,Data!S13)*10+50))</f>
        <v/>
      </c>
    </row>
    <row r="13">
      <c r="A13" s="8">
        <f>Indicators!A13</f>
        <v/>
      </c>
      <c r="B13" s="12">
        <f>Indicators!C13</f>
        <v/>
      </c>
      <c r="C13" s="13">
        <f>IF(COUNT(Data!D14,Data!G14,Data!J14,Data!M14,Data!P14,Data!S14)&lt;6,"",IF(STDEVP(Data!D14,Data!G14,Data!J14,Data!M14,Data!P14,Data!S14)=0,"",IF(Data!$C14="Lower is better",-1,1)*(Data!D14-AVERAGE(Data!D14,Data!G14,Data!J14,Data!M14,Data!P14,Data!S14))/STDEVP(Data!D14,Data!G14,Data!J14,Data!M14,Data!P14,Data!S14)*10+50))</f>
        <v/>
      </c>
      <c r="D13" s="13">
        <f>IF(COUNT(Data!D14,Data!G14,Data!J14,Data!M14,Data!P14,Data!S14)&lt;6,"",IF(STDEVP(Data!D14,Data!G14,Data!J14,Data!M14,Data!P14,Data!S14)=0,"",IF(Data!$C14="Lower is better",-1,1)*(Data!G14-AVERAGE(Data!D14,Data!G14,Data!J14,Data!M14,Data!P14,Data!S14))/STDEVP(Data!D14,Data!G14,Data!J14,Data!M14,Data!P14,Data!S14)*10+50))</f>
        <v/>
      </c>
      <c r="E13" s="13">
        <f>IF(COUNT(Data!D14,Data!G14,Data!J14,Data!M14,Data!P14,Data!S14)&lt;6,"",IF(STDEVP(Data!D14,Data!G14,Data!J14,Data!M14,Data!P14,Data!S14)=0,"",IF(Data!$C14="Lower is better",-1,1)*(Data!J14-AVERAGE(Data!D14,Data!G14,Data!J14,Data!M14,Data!P14,Data!S14))/STDEVP(Data!D14,Data!G14,Data!J14,Data!M14,Data!P14,Data!S14)*10+50))</f>
        <v/>
      </c>
      <c r="F13" s="13">
        <f>IF(COUNT(Data!D14,Data!G14,Data!J14,Data!M14,Data!P14,Data!S14)&lt;6,"",IF(STDEVP(Data!D14,Data!G14,Data!J14,Data!M14,Data!P14,Data!S14)=0,"",IF(Data!$C14="Lower is better",-1,1)*(Data!M14-AVERAGE(Data!D14,Data!G14,Data!J14,Data!M14,Data!P14,Data!S14))/STDEVP(Data!D14,Data!G14,Data!J14,Data!M14,Data!P14,Data!S14)*10+50))</f>
        <v/>
      </c>
      <c r="G13" s="13">
        <f>IF(COUNT(Data!D14,Data!G14,Data!J14,Data!M14,Data!P14,Data!S14)&lt;6,"",IF(STDEVP(Data!D14,Data!G14,Data!J14,Data!M14,Data!P14,Data!S14)=0,"",IF(Data!$C14="Lower is better",-1,1)*(Data!P14-AVERAGE(Data!D14,Data!G14,Data!J14,Data!M14,Data!P14,Data!S14))/STDEVP(Data!D14,Data!G14,Data!J14,Data!M14,Data!P14,Data!S14)*10+50))</f>
        <v/>
      </c>
      <c r="H13" s="13">
        <f>IF(COUNT(Data!D14,Data!G14,Data!J14,Data!M14,Data!P14,Data!S14)&lt;6,"",IF(STDEVP(Data!D14,Data!G14,Data!J14,Data!M14,Data!P14,Data!S14)=0,"",IF(Data!$C14="Lower is better",-1,1)*(Data!S14-AVERAGE(Data!D14,Data!G14,Data!J14,Data!M14,Data!P14,Data!S14))/STDEVP(Data!D14,Data!G14,Data!J14,Data!M14,Data!P14,Data!S14)*10+50))</f>
        <v/>
      </c>
    </row>
    <row r="14">
      <c r="A14" s="8">
        <f>Indicators!A14</f>
        <v/>
      </c>
      <c r="B14" s="12">
        <f>Indicators!C14</f>
        <v/>
      </c>
      <c r="C14" s="13">
        <f>IF(COUNT(Data!D15,Data!G15,Data!J15,Data!M15,Data!P15,Data!S15)&lt;6,"",IF(STDEVP(Data!D15,Data!G15,Data!J15,Data!M15,Data!P15,Data!S15)=0,"",IF(Data!$C15="Lower is better",-1,1)*(Data!D15-AVERAGE(Data!D15,Data!G15,Data!J15,Data!M15,Data!P15,Data!S15))/STDEVP(Data!D15,Data!G15,Data!J15,Data!M15,Data!P15,Data!S15)*10+50))</f>
        <v/>
      </c>
      <c r="D14" s="13">
        <f>IF(COUNT(Data!D15,Data!G15,Data!J15,Data!M15,Data!P15,Data!S15)&lt;6,"",IF(STDEVP(Data!D15,Data!G15,Data!J15,Data!M15,Data!P15,Data!S15)=0,"",IF(Data!$C15="Lower is better",-1,1)*(Data!G15-AVERAGE(Data!D15,Data!G15,Data!J15,Data!M15,Data!P15,Data!S15))/STDEVP(Data!D15,Data!G15,Data!J15,Data!M15,Data!P15,Data!S15)*10+50))</f>
        <v/>
      </c>
      <c r="E14" s="13">
        <f>IF(COUNT(Data!D15,Data!G15,Data!J15,Data!M15,Data!P15,Data!S15)&lt;6,"",IF(STDEVP(Data!D15,Data!G15,Data!J15,Data!M15,Data!P15,Data!S15)=0,"",IF(Data!$C15="Lower is better",-1,1)*(Data!J15-AVERAGE(Data!D15,Data!G15,Data!J15,Data!M15,Data!P15,Data!S15))/STDEVP(Data!D15,Data!G15,Data!J15,Data!M15,Data!P15,Data!S15)*10+50))</f>
        <v/>
      </c>
      <c r="F14" s="13">
        <f>IF(COUNT(Data!D15,Data!G15,Data!J15,Data!M15,Data!P15,Data!S15)&lt;6,"",IF(STDEVP(Data!D15,Data!G15,Data!J15,Data!M15,Data!P15,Data!S15)=0,"",IF(Data!$C15="Lower is better",-1,1)*(Data!M15-AVERAGE(Data!D15,Data!G15,Data!J15,Data!M15,Data!P15,Data!S15))/STDEVP(Data!D15,Data!G15,Data!J15,Data!M15,Data!P15,Data!S15)*10+50))</f>
        <v/>
      </c>
      <c r="G14" s="13">
        <f>IF(COUNT(Data!D15,Data!G15,Data!J15,Data!M15,Data!P15,Data!S15)&lt;6,"",IF(STDEVP(Data!D15,Data!G15,Data!J15,Data!M15,Data!P15,Data!S15)=0,"",IF(Data!$C15="Lower is better",-1,1)*(Data!P15-AVERAGE(Data!D15,Data!G15,Data!J15,Data!M15,Data!P15,Data!S15))/STDEVP(Data!D15,Data!G15,Data!J15,Data!M15,Data!P15,Data!S15)*10+50))</f>
        <v/>
      </c>
      <c r="H14" s="13">
        <f>IF(COUNT(Data!D15,Data!G15,Data!J15,Data!M15,Data!P15,Data!S15)&lt;6,"",IF(STDEVP(Data!D15,Data!G15,Data!J15,Data!M15,Data!P15,Data!S15)=0,"",IF(Data!$C15="Lower is better",-1,1)*(Data!S15-AVERAGE(Data!D15,Data!G15,Data!J15,Data!M15,Data!P15,Data!S15))/STDEVP(Data!D15,Data!G15,Data!J15,Data!M15,Data!P15,Data!S15)*10+50))</f>
        <v/>
      </c>
    </row>
    <row r="15">
      <c r="A15" s="8">
        <f>Indicators!A15</f>
        <v/>
      </c>
      <c r="B15" s="12">
        <f>Indicators!C15</f>
        <v/>
      </c>
      <c r="C15" s="13">
        <f>IF(COUNT(Data!D16,Data!G16,Data!J16,Data!M16,Data!P16,Data!S16)&lt;6,"",IF(STDEVP(Data!D16,Data!G16,Data!J16,Data!M16,Data!P16,Data!S16)=0,"",IF(Data!$C16="Lower is better",-1,1)*(Data!D16-AVERAGE(Data!D16,Data!G16,Data!J16,Data!M16,Data!P16,Data!S16))/STDEVP(Data!D16,Data!G16,Data!J16,Data!M16,Data!P16,Data!S16)*10+50))</f>
        <v/>
      </c>
      <c r="D15" s="13">
        <f>IF(COUNT(Data!D16,Data!G16,Data!J16,Data!M16,Data!P16,Data!S16)&lt;6,"",IF(STDEVP(Data!D16,Data!G16,Data!J16,Data!M16,Data!P16,Data!S16)=0,"",IF(Data!$C16="Lower is better",-1,1)*(Data!G16-AVERAGE(Data!D16,Data!G16,Data!J16,Data!M16,Data!P16,Data!S16))/STDEVP(Data!D16,Data!G16,Data!J16,Data!M16,Data!P16,Data!S16)*10+50))</f>
        <v/>
      </c>
      <c r="E15" s="13">
        <f>IF(COUNT(Data!D16,Data!G16,Data!J16,Data!M16,Data!P16,Data!S16)&lt;6,"",IF(STDEVP(Data!D16,Data!G16,Data!J16,Data!M16,Data!P16,Data!S16)=0,"",IF(Data!$C16="Lower is better",-1,1)*(Data!J16-AVERAGE(Data!D16,Data!G16,Data!J16,Data!M16,Data!P16,Data!S16))/STDEVP(Data!D16,Data!G16,Data!J16,Data!M16,Data!P16,Data!S16)*10+50))</f>
        <v/>
      </c>
      <c r="F15" s="13">
        <f>IF(COUNT(Data!D16,Data!G16,Data!J16,Data!M16,Data!P16,Data!S16)&lt;6,"",IF(STDEVP(Data!D16,Data!G16,Data!J16,Data!M16,Data!P16,Data!S16)=0,"",IF(Data!$C16="Lower is better",-1,1)*(Data!M16-AVERAGE(Data!D16,Data!G16,Data!J16,Data!M16,Data!P16,Data!S16))/STDEVP(Data!D16,Data!G16,Data!J16,Data!M16,Data!P16,Data!S16)*10+50))</f>
        <v/>
      </c>
      <c r="G15" s="13">
        <f>IF(COUNT(Data!D16,Data!G16,Data!J16,Data!M16,Data!P16,Data!S16)&lt;6,"",IF(STDEVP(Data!D16,Data!G16,Data!J16,Data!M16,Data!P16,Data!S16)=0,"",IF(Data!$C16="Lower is better",-1,1)*(Data!P16-AVERAGE(Data!D16,Data!G16,Data!J16,Data!M16,Data!P16,Data!S16))/STDEVP(Data!D16,Data!G16,Data!J16,Data!M16,Data!P16,Data!S16)*10+50))</f>
        <v/>
      </c>
      <c r="H15" s="13">
        <f>IF(COUNT(Data!D16,Data!G16,Data!J16,Data!M16,Data!P16,Data!S16)&lt;6,"",IF(STDEVP(Data!D16,Data!G16,Data!J16,Data!M16,Data!P16,Data!S16)=0,"",IF(Data!$C16="Lower is better",-1,1)*(Data!S16-AVERAGE(Data!D16,Data!G16,Data!J16,Data!M16,Data!P16,Data!S16))/STDEVP(Data!D16,Data!G16,Data!J16,Data!M16,Data!P16,Data!S16)*10+50))</f>
        <v/>
      </c>
    </row>
    <row r="16">
      <c r="A16" s="8">
        <f>Indicators!A16</f>
        <v/>
      </c>
      <c r="B16" s="12">
        <f>Indicators!C16</f>
        <v/>
      </c>
      <c r="C16" s="13">
        <f>IF(COUNT(Data!D17,Data!G17,Data!J17,Data!M17,Data!P17,Data!S17)&lt;6,"",IF(STDEVP(Data!D17,Data!G17,Data!J17,Data!M17,Data!P17,Data!S17)=0,"",IF(Data!$C17="Lower is better",-1,1)*(Data!D17-AVERAGE(Data!D17,Data!G17,Data!J17,Data!M17,Data!P17,Data!S17))/STDEVP(Data!D17,Data!G17,Data!J17,Data!M17,Data!P17,Data!S17)*10+50))</f>
        <v/>
      </c>
      <c r="D16" s="13">
        <f>IF(COUNT(Data!D17,Data!G17,Data!J17,Data!M17,Data!P17,Data!S17)&lt;6,"",IF(STDEVP(Data!D17,Data!G17,Data!J17,Data!M17,Data!P17,Data!S17)=0,"",IF(Data!$C17="Lower is better",-1,1)*(Data!G17-AVERAGE(Data!D17,Data!G17,Data!J17,Data!M17,Data!P17,Data!S17))/STDEVP(Data!D17,Data!G17,Data!J17,Data!M17,Data!P17,Data!S17)*10+50))</f>
        <v/>
      </c>
      <c r="E16" s="13">
        <f>IF(COUNT(Data!D17,Data!G17,Data!J17,Data!M17,Data!P17,Data!S17)&lt;6,"",IF(STDEVP(Data!D17,Data!G17,Data!J17,Data!M17,Data!P17,Data!S17)=0,"",IF(Data!$C17="Lower is better",-1,1)*(Data!J17-AVERAGE(Data!D17,Data!G17,Data!J17,Data!M17,Data!P17,Data!S17))/STDEVP(Data!D17,Data!G17,Data!J17,Data!M17,Data!P17,Data!S17)*10+50))</f>
        <v/>
      </c>
      <c r="F16" s="13">
        <f>IF(COUNT(Data!D17,Data!G17,Data!J17,Data!M17,Data!P17,Data!S17)&lt;6,"",IF(STDEVP(Data!D17,Data!G17,Data!J17,Data!M17,Data!P17,Data!S17)=0,"",IF(Data!$C17="Lower is better",-1,1)*(Data!M17-AVERAGE(Data!D17,Data!G17,Data!J17,Data!M17,Data!P17,Data!S17))/STDEVP(Data!D17,Data!G17,Data!J17,Data!M17,Data!P17,Data!S17)*10+50))</f>
        <v/>
      </c>
      <c r="G16" s="13">
        <f>IF(COUNT(Data!D17,Data!G17,Data!J17,Data!M17,Data!P17,Data!S17)&lt;6,"",IF(STDEVP(Data!D17,Data!G17,Data!J17,Data!M17,Data!P17,Data!S17)=0,"",IF(Data!$C17="Lower is better",-1,1)*(Data!P17-AVERAGE(Data!D17,Data!G17,Data!J17,Data!M17,Data!P17,Data!S17))/STDEVP(Data!D17,Data!G17,Data!J17,Data!M17,Data!P17,Data!S17)*10+50))</f>
        <v/>
      </c>
      <c r="H16" s="13">
        <f>IF(COUNT(Data!D17,Data!G17,Data!J17,Data!M17,Data!P17,Data!S17)&lt;6,"",IF(STDEVP(Data!D17,Data!G17,Data!J17,Data!M17,Data!P17,Data!S17)=0,"",IF(Data!$C17="Lower is better",-1,1)*(Data!S17-AVERAGE(Data!D17,Data!G17,Data!J17,Data!M17,Data!P17,Data!S17))/STDEVP(Data!D17,Data!G17,Data!J17,Data!M17,Data!P17,Data!S17)*10+50))</f>
        <v/>
      </c>
    </row>
    <row r="17">
      <c r="A17" s="8">
        <f>Indicators!A17</f>
        <v/>
      </c>
      <c r="B17" s="12">
        <f>Indicators!C17</f>
        <v/>
      </c>
      <c r="C17" s="13">
        <f>IF(COUNT(Data!D18,Data!G18,Data!J18,Data!M18,Data!P18,Data!S18)&lt;6,"",IF(STDEVP(Data!D18,Data!G18,Data!J18,Data!M18,Data!P18,Data!S18)=0,"",IF(Data!$C18="Lower is better",-1,1)*(Data!D18-AVERAGE(Data!D18,Data!G18,Data!J18,Data!M18,Data!P18,Data!S18))/STDEVP(Data!D18,Data!G18,Data!J18,Data!M18,Data!P18,Data!S18)*10+50))</f>
        <v/>
      </c>
      <c r="D17" s="13">
        <f>IF(COUNT(Data!D18,Data!G18,Data!J18,Data!M18,Data!P18,Data!S18)&lt;6,"",IF(STDEVP(Data!D18,Data!G18,Data!J18,Data!M18,Data!P18,Data!S18)=0,"",IF(Data!$C18="Lower is better",-1,1)*(Data!G18-AVERAGE(Data!D18,Data!G18,Data!J18,Data!M18,Data!P18,Data!S18))/STDEVP(Data!D18,Data!G18,Data!J18,Data!M18,Data!P18,Data!S18)*10+50))</f>
        <v/>
      </c>
      <c r="E17" s="13">
        <f>IF(COUNT(Data!D18,Data!G18,Data!J18,Data!M18,Data!P18,Data!S18)&lt;6,"",IF(STDEVP(Data!D18,Data!G18,Data!J18,Data!M18,Data!P18,Data!S18)=0,"",IF(Data!$C18="Lower is better",-1,1)*(Data!J18-AVERAGE(Data!D18,Data!G18,Data!J18,Data!M18,Data!P18,Data!S18))/STDEVP(Data!D18,Data!G18,Data!J18,Data!M18,Data!P18,Data!S18)*10+50))</f>
        <v/>
      </c>
      <c r="F17" s="13">
        <f>IF(COUNT(Data!D18,Data!G18,Data!J18,Data!M18,Data!P18,Data!S18)&lt;6,"",IF(STDEVP(Data!D18,Data!G18,Data!J18,Data!M18,Data!P18,Data!S18)=0,"",IF(Data!$C18="Lower is better",-1,1)*(Data!M18-AVERAGE(Data!D18,Data!G18,Data!J18,Data!M18,Data!P18,Data!S18))/STDEVP(Data!D18,Data!G18,Data!J18,Data!M18,Data!P18,Data!S18)*10+50))</f>
        <v/>
      </c>
      <c r="G17" s="13">
        <f>IF(COUNT(Data!D18,Data!G18,Data!J18,Data!M18,Data!P18,Data!S18)&lt;6,"",IF(STDEVP(Data!D18,Data!G18,Data!J18,Data!M18,Data!P18,Data!S18)=0,"",IF(Data!$C18="Lower is better",-1,1)*(Data!P18-AVERAGE(Data!D18,Data!G18,Data!J18,Data!M18,Data!P18,Data!S18))/STDEVP(Data!D18,Data!G18,Data!J18,Data!M18,Data!P18,Data!S18)*10+50))</f>
        <v/>
      </c>
      <c r="H17" s="13">
        <f>IF(COUNT(Data!D18,Data!G18,Data!J18,Data!M18,Data!P18,Data!S18)&lt;6,"",IF(STDEVP(Data!D18,Data!G18,Data!J18,Data!M18,Data!P18,Data!S18)=0,"",IF(Data!$C18="Lower is better",-1,1)*(Data!S18-AVERAGE(Data!D18,Data!G18,Data!J18,Data!M18,Data!P18,Data!S18))/STDEVP(Data!D18,Data!G18,Data!J18,Data!M18,Data!P18,Data!S18)*10+50))</f>
        <v/>
      </c>
    </row>
    <row r="18">
      <c r="A18" s="8">
        <f>Indicators!A18</f>
        <v/>
      </c>
      <c r="B18" s="12">
        <f>Indicators!C18</f>
        <v/>
      </c>
      <c r="C18" s="13">
        <f>IF(COUNT(Data!D19,Data!G19,Data!J19,Data!M19,Data!P19,Data!S19)&lt;6,"",IF(STDEVP(Data!D19,Data!G19,Data!J19,Data!M19,Data!P19,Data!S19)=0,"",IF(Data!$C19="Lower is better",-1,1)*(Data!D19-AVERAGE(Data!D19,Data!G19,Data!J19,Data!M19,Data!P19,Data!S19))/STDEVP(Data!D19,Data!G19,Data!J19,Data!M19,Data!P19,Data!S19)*10+50))</f>
        <v/>
      </c>
      <c r="D18" s="13">
        <f>IF(COUNT(Data!D19,Data!G19,Data!J19,Data!M19,Data!P19,Data!S19)&lt;6,"",IF(STDEVP(Data!D19,Data!G19,Data!J19,Data!M19,Data!P19,Data!S19)=0,"",IF(Data!$C19="Lower is better",-1,1)*(Data!G19-AVERAGE(Data!D19,Data!G19,Data!J19,Data!M19,Data!P19,Data!S19))/STDEVP(Data!D19,Data!G19,Data!J19,Data!M19,Data!P19,Data!S19)*10+50))</f>
        <v/>
      </c>
      <c r="E18" s="13">
        <f>IF(COUNT(Data!D19,Data!G19,Data!J19,Data!M19,Data!P19,Data!S19)&lt;6,"",IF(STDEVP(Data!D19,Data!G19,Data!J19,Data!M19,Data!P19,Data!S19)=0,"",IF(Data!$C19="Lower is better",-1,1)*(Data!J19-AVERAGE(Data!D19,Data!G19,Data!J19,Data!M19,Data!P19,Data!S19))/STDEVP(Data!D19,Data!G19,Data!J19,Data!M19,Data!P19,Data!S19)*10+50))</f>
        <v/>
      </c>
      <c r="F18" s="13">
        <f>IF(COUNT(Data!D19,Data!G19,Data!J19,Data!M19,Data!P19,Data!S19)&lt;6,"",IF(STDEVP(Data!D19,Data!G19,Data!J19,Data!M19,Data!P19,Data!S19)=0,"",IF(Data!$C19="Lower is better",-1,1)*(Data!M19-AVERAGE(Data!D19,Data!G19,Data!J19,Data!M19,Data!P19,Data!S19))/STDEVP(Data!D19,Data!G19,Data!J19,Data!M19,Data!P19,Data!S19)*10+50))</f>
        <v/>
      </c>
      <c r="G18" s="13">
        <f>IF(COUNT(Data!D19,Data!G19,Data!J19,Data!M19,Data!P19,Data!S19)&lt;6,"",IF(STDEVP(Data!D19,Data!G19,Data!J19,Data!M19,Data!P19,Data!S19)=0,"",IF(Data!$C19="Lower is better",-1,1)*(Data!P19-AVERAGE(Data!D19,Data!G19,Data!J19,Data!M19,Data!P19,Data!S19))/STDEVP(Data!D19,Data!G19,Data!J19,Data!M19,Data!P19,Data!S19)*10+50))</f>
        <v/>
      </c>
      <c r="H18" s="13">
        <f>IF(COUNT(Data!D19,Data!G19,Data!J19,Data!M19,Data!P19,Data!S19)&lt;6,"",IF(STDEVP(Data!D19,Data!G19,Data!J19,Data!M19,Data!P19,Data!S19)=0,"",IF(Data!$C19="Lower is better",-1,1)*(Data!S19-AVERAGE(Data!D19,Data!G19,Data!J19,Data!M19,Data!P19,Data!S19))/STDEVP(Data!D19,Data!G19,Data!J19,Data!M19,Data!P19,Data!S19)*10+50))</f>
        <v/>
      </c>
    </row>
    <row r="19">
      <c r="A19" s="8">
        <f>Indicators!A19</f>
        <v/>
      </c>
      <c r="B19" s="12">
        <f>Indicators!C19</f>
        <v/>
      </c>
      <c r="C19" s="13">
        <f>IF(COUNT(Data!D20,Data!G20,Data!J20,Data!M20,Data!P20,Data!S20)&lt;6,"",IF(STDEVP(Data!D20,Data!G20,Data!J20,Data!M20,Data!P20,Data!S20)=0,"",IF(Data!$C20="Lower is better",-1,1)*(Data!D20-AVERAGE(Data!D20,Data!G20,Data!J20,Data!M20,Data!P20,Data!S20))/STDEVP(Data!D20,Data!G20,Data!J20,Data!M20,Data!P20,Data!S20)*10+50))</f>
        <v/>
      </c>
      <c r="D19" s="13">
        <f>IF(COUNT(Data!D20,Data!G20,Data!J20,Data!M20,Data!P20,Data!S20)&lt;6,"",IF(STDEVP(Data!D20,Data!G20,Data!J20,Data!M20,Data!P20,Data!S20)=0,"",IF(Data!$C20="Lower is better",-1,1)*(Data!G20-AVERAGE(Data!D20,Data!G20,Data!J20,Data!M20,Data!P20,Data!S20))/STDEVP(Data!D20,Data!G20,Data!J20,Data!M20,Data!P20,Data!S20)*10+50))</f>
        <v/>
      </c>
      <c r="E19" s="13">
        <f>IF(COUNT(Data!D20,Data!G20,Data!J20,Data!M20,Data!P20,Data!S20)&lt;6,"",IF(STDEVP(Data!D20,Data!G20,Data!J20,Data!M20,Data!P20,Data!S20)=0,"",IF(Data!$C20="Lower is better",-1,1)*(Data!J20-AVERAGE(Data!D20,Data!G20,Data!J20,Data!M20,Data!P20,Data!S20))/STDEVP(Data!D20,Data!G20,Data!J20,Data!M20,Data!P20,Data!S20)*10+50))</f>
        <v/>
      </c>
      <c r="F19" s="13">
        <f>IF(COUNT(Data!D20,Data!G20,Data!J20,Data!M20,Data!P20,Data!S20)&lt;6,"",IF(STDEVP(Data!D20,Data!G20,Data!J20,Data!M20,Data!P20,Data!S20)=0,"",IF(Data!$C20="Lower is better",-1,1)*(Data!M20-AVERAGE(Data!D20,Data!G20,Data!J20,Data!M20,Data!P20,Data!S20))/STDEVP(Data!D20,Data!G20,Data!J20,Data!M20,Data!P20,Data!S20)*10+50))</f>
        <v/>
      </c>
      <c r="G19" s="13">
        <f>IF(COUNT(Data!D20,Data!G20,Data!J20,Data!M20,Data!P20,Data!S20)&lt;6,"",IF(STDEVP(Data!D20,Data!G20,Data!J20,Data!M20,Data!P20,Data!S20)=0,"",IF(Data!$C20="Lower is better",-1,1)*(Data!P20-AVERAGE(Data!D20,Data!G20,Data!J20,Data!M20,Data!P20,Data!S20))/STDEVP(Data!D20,Data!G20,Data!J20,Data!M20,Data!P20,Data!S20)*10+50))</f>
        <v/>
      </c>
      <c r="H19" s="13">
        <f>IF(COUNT(Data!D20,Data!G20,Data!J20,Data!M20,Data!P20,Data!S20)&lt;6,"",IF(STDEVP(Data!D20,Data!G20,Data!J20,Data!M20,Data!P20,Data!S20)=0,"",IF(Data!$C20="Lower is better",-1,1)*(Data!S20-AVERAGE(Data!D20,Data!G20,Data!J20,Data!M20,Data!P20,Data!S20))/STDEVP(Data!D20,Data!G20,Data!J20,Data!M20,Data!P20,Data!S20)*10+50))</f>
        <v/>
      </c>
    </row>
    <row r="20">
      <c r="A20" s="8">
        <f>Indicators!A20</f>
        <v/>
      </c>
      <c r="B20" s="12">
        <f>Indicators!C20</f>
        <v/>
      </c>
      <c r="C20" s="13">
        <f>IF(COUNT(Data!D21,Data!G21,Data!J21,Data!M21,Data!P21,Data!S21)&lt;6,"",IF(STDEVP(Data!D21,Data!G21,Data!J21,Data!M21,Data!P21,Data!S21)=0,"",IF(Data!$C21="Lower is better",-1,1)*(Data!D21-AVERAGE(Data!D21,Data!G21,Data!J21,Data!M21,Data!P21,Data!S21))/STDEVP(Data!D21,Data!G21,Data!J21,Data!M21,Data!P21,Data!S21)*10+50))</f>
        <v/>
      </c>
      <c r="D20" s="13">
        <f>IF(COUNT(Data!D21,Data!G21,Data!J21,Data!M21,Data!P21,Data!S21)&lt;6,"",IF(STDEVP(Data!D21,Data!G21,Data!J21,Data!M21,Data!P21,Data!S21)=0,"",IF(Data!$C21="Lower is better",-1,1)*(Data!G21-AVERAGE(Data!D21,Data!G21,Data!J21,Data!M21,Data!P21,Data!S21))/STDEVP(Data!D21,Data!G21,Data!J21,Data!M21,Data!P21,Data!S21)*10+50))</f>
        <v/>
      </c>
      <c r="E20" s="13">
        <f>IF(COUNT(Data!D21,Data!G21,Data!J21,Data!M21,Data!P21,Data!S21)&lt;6,"",IF(STDEVP(Data!D21,Data!G21,Data!J21,Data!M21,Data!P21,Data!S21)=0,"",IF(Data!$C21="Lower is better",-1,1)*(Data!J21-AVERAGE(Data!D21,Data!G21,Data!J21,Data!M21,Data!P21,Data!S21))/STDEVP(Data!D21,Data!G21,Data!J21,Data!M21,Data!P21,Data!S21)*10+50))</f>
        <v/>
      </c>
      <c r="F20" s="13">
        <f>IF(COUNT(Data!D21,Data!G21,Data!J21,Data!M21,Data!P21,Data!S21)&lt;6,"",IF(STDEVP(Data!D21,Data!G21,Data!J21,Data!M21,Data!P21,Data!S21)=0,"",IF(Data!$C21="Lower is better",-1,1)*(Data!M21-AVERAGE(Data!D21,Data!G21,Data!J21,Data!M21,Data!P21,Data!S21))/STDEVP(Data!D21,Data!G21,Data!J21,Data!M21,Data!P21,Data!S21)*10+50))</f>
        <v/>
      </c>
      <c r="G20" s="13">
        <f>IF(COUNT(Data!D21,Data!G21,Data!J21,Data!M21,Data!P21,Data!S21)&lt;6,"",IF(STDEVP(Data!D21,Data!G21,Data!J21,Data!M21,Data!P21,Data!S21)=0,"",IF(Data!$C21="Lower is better",-1,1)*(Data!P21-AVERAGE(Data!D21,Data!G21,Data!J21,Data!M21,Data!P21,Data!S21))/STDEVP(Data!D21,Data!G21,Data!J21,Data!M21,Data!P21,Data!S21)*10+50))</f>
        <v/>
      </c>
      <c r="H20" s="13">
        <f>IF(COUNT(Data!D21,Data!G21,Data!J21,Data!M21,Data!P21,Data!S21)&lt;6,"",IF(STDEVP(Data!D21,Data!G21,Data!J21,Data!M21,Data!P21,Data!S21)=0,"",IF(Data!$C21="Lower is better",-1,1)*(Data!S21-AVERAGE(Data!D21,Data!G21,Data!J21,Data!M21,Data!P21,Data!S21))/STDEVP(Data!D21,Data!G21,Data!J21,Data!M21,Data!P21,Data!S21)*10+50))</f>
        <v/>
      </c>
    </row>
    <row r="21">
      <c r="A21" s="8">
        <f>Indicators!A21</f>
        <v/>
      </c>
      <c r="B21" s="12">
        <f>Indicators!C21</f>
        <v/>
      </c>
      <c r="C21" s="13">
        <f>IF(COUNT(Data!D22,Data!G22,Data!J22,Data!M22,Data!P22,Data!S22)&lt;6,"",IF(STDEVP(Data!D22,Data!G22,Data!J22,Data!M22,Data!P22,Data!S22)=0,"",IF(Data!$C22="Lower is better",-1,1)*(Data!D22-AVERAGE(Data!D22,Data!G22,Data!J22,Data!M22,Data!P22,Data!S22))/STDEVP(Data!D22,Data!G22,Data!J22,Data!M22,Data!P22,Data!S22)*10+50))</f>
        <v/>
      </c>
      <c r="D21" s="13">
        <f>IF(COUNT(Data!D22,Data!G22,Data!J22,Data!M22,Data!P22,Data!S22)&lt;6,"",IF(STDEVP(Data!D22,Data!G22,Data!J22,Data!M22,Data!P22,Data!S22)=0,"",IF(Data!$C22="Lower is better",-1,1)*(Data!G22-AVERAGE(Data!D22,Data!G22,Data!J22,Data!M22,Data!P22,Data!S22))/STDEVP(Data!D22,Data!G22,Data!J22,Data!M22,Data!P22,Data!S22)*10+50))</f>
        <v/>
      </c>
      <c r="E21" s="13">
        <f>IF(COUNT(Data!D22,Data!G22,Data!J22,Data!M22,Data!P22,Data!S22)&lt;6,"",IF(STDEVP(Data!D22,Data!G22,Data!J22,Data!M22,Data!P22,Data!S22)=0,"",IF(Data!$C22="Lower is better",-1,1)*(Data!J22-AVERAGE(Data!D22,Data!G22,Data!J22,Data!M22,Data!P22,Data!S22))/STDEVP(Data!D22,Data!G22,Data!J22,Data!M22,Data!P22,Data!S22)*10+50))</f>
        <v/>
      </c>
      <c r="F21" s="13">
        <f>IF(COUNT(Data!D22,Data!G22,Data!J22,Data!M22,Data!P22,Data!S22)&lt;6,"",IF(STDEVP(Data!D22,Data!G22,Data!J22,Data!M22,Data!P22,Data!S22)=0,"",IF(Data!$C22="Lower is better",-1,1)*(Data!M22-AVERAGE(Data!D22,Data!G22,Data!J22,Data!M22,Data!P22,Data!S22))/STDEVP(Data!D22,Data!G22,Data!J22,Data!M22,Data!P22,Data!S22)*10+50))</f>
        <v/>
      </c>
      <c r="G21" s="13">
        <f>IF(COUNT(Data!D22,Data!G22,Data!J22,Data!M22,Data!P22,Data!S22)&lt;6,"",IF(STDEVP(Data!D22,Data!G22,Data!J22,Data!M22,Data!P22,Data!S22)=0,"",IF(Data!$C22="Lower is better",-1,1)*(Data!P22-AVERAGE(Data!D22,Data!G22,Data!J22,Data!M22,Data!P22,Data!S22))/STDEVP(Data!D22,Data!G22,Data!J22,Data!M22,Data!P22,Data!S22)*10+50))</f>
        <v/>
      </c>
      <c r="H21" s="13">
        <f>IF(COUNT(Data!D22,Data!G22,Data!J22,Data!M22,Data!P22,Data!S22)&lt;6,"",IF(STDEVP(Data!D22,Data!G22,Data!J22,Data!M22,Data!P22,Data!S22)=0,"",IF(Data!$C22="Lower is better",-1,1)*(Data!S22-AVERAGE(Data!D22,Data!G22,Data!J22,Data!M22,Data!P22,Data!S22))/STDEVP(Data!D22,Data!G22,Data!J22,Data!M22,Data!P22,Data!S22)*10+50))</f>
        <v/>
      </c>
    </row>
    <row r="22">
      <c r="A22" s="8">
        <f>Indicators!A22</f>
        <v/>
      </c>
      <c r="B22" s="12">
        <f>Indicators!C22</f>
        <v/>
      </c>
      <c r="C22" s="13">
        <f>IF(COUNT(Data!D23,Data!G23,Data!J23,Data!M23,Data!P23,Data!S23)&lt;6,"",IF(STDEVP(Data!D23,Data!G23,Data!J23,Data!M23,Data!P23,Data!S23)=0,"",IF(Data!$C23="Lower is better",-1,1)*(Data!D23-AVERAGE(Data!D23,Data!G23,Data!J23,Data!M23,Data!P23,Data!S23))/STDEVP(Data!D23,Data!G23,Data!J23,Data!M23,Data!P23,Data!S23)*10+50))</f>
        <v/>
      </c>
      <c r="D22" s="13">
        <f>IF(COUNT(Data!D23,Data!G23,Data!J23,Data!M23,Data!P23,Data!S23)&lt;6,"",IF(STDEVP(Data!D23,Data!G23,Data!J23,Data!M23,Data!P23,Data!S23)=0,"",IF(Data!$C23="Lower is better",-1,1)*(Data!G23-AVERAGE(Data!D23,Data!G23,Data!J23,Data!M23,Data!P23,Data!S23))/STDEVP(Data!D23,Data!G23,Data!J23,Data!M23,Data!P23,Data!S23)*10+50))</f>
        <v/>
      </c>
      <c r="E22" s="13">
        <f>IF(COUNT(Data!D23,Data!G23,Data!J23,Data!M23,Data!P23,Data!S23)&lt;6,"",IF(STDEVP(Data!D23,Data!G23,Data!J23,Data!M23,Data!P23,Data!S23)=0,"",IF(Data!$C23="Lower is better",-1,1)*(Data!J23-AVERAGE(Data!D23,Data!G23,Data!J23,Data!M23,Data!P23,Data!S23))/STDEVP(Data!D23,Data!G23,Data!J23,Data!M23,Data!P23,Data!S23)*10+50))</f>
        <v/>
      </c>
      <c r="F22" s="13">
        <f>IF(COUNT(Data!D23,Data!G23,Data!J23,Data!M23,Data!P23,Data!S23)&lt;6,"",IF(STDEVP(Data!D23,Data!G23,Data!J23,Data!M23,Data!P23,Data!S23)=0,"",IF(Data!$C23="Lower is better",-1,1)*(Data!M23-AVERAGE(Data!D23,Data!G23,Data!J23,Data!M23,Data!P23,Data!S23))/STDEVP(Data!D23,Data!G23,Data!J23,Data!M23,Data!P23,Data!S23)*10+50))</f>
        <v/>
      </c>
      <c r="G22" s="13">
        <f>IF(COUNT(Data!D23,Data!G23,Data!J23,Data!M23,Data!P23,Data!S23)&lt;6,"",IF(STDEVP(Data!D23,Data!G23,Data!J23,Data!M23,Data!P23,Data!S23)=0,"",IF(Data!$C23="Lower is better",-1,1)*(Data!P23-AVERAGE(Data!D23,Data!G23,Data!J23,Data!M23,Data!P23,Data!S23))/STDEVP(Data!D23,Data!G23,Data!J23,Data!M23,Data!P23,Data!S23)*10+50))</f>
        <v/>
      </c>
      <c r="H22" s="13">
        <f>IF(COUNT(Data!D23,Data!G23,Data!J23,Data!M23,Data!P23,Data!S23)&lt;6,"",IF(STDEVP(Data!D23,Data!G23,Data!J23,Data!M23,Data!P23,Data!S23)=0,"",IF(Data!$C23="Lower is better",-1,1)*(Data!S23-AVERAGE(Data!D23,Data!G23,Data!J23,Data!M23,Data!P23,Data!S23))/STDEVP(Data!D23,Data!G23,Data!J23,Data!M23,Data!P23,Data!S23)*10+50))</f>
        <v/>
      </c>
    </row>
    <row r="23">
      <c r="A23" s="8">
        <f>Indicators!A23</f>
        <v/>
      </c>
      <c r="B23" s="12">
        <f>Indicators!C23</f>
        <v/>
      </c>
      <c r="C23" s="13">
        <f>IF(COUNT(Data!D24,Data!G24,Data!J24,Data!M24,Data!P24,Data!S24)&lt;6,"",IF(STDEVP(Data!D24,Data!G24,Data!J24,Data!M24,Data!P24,Data!S24)=0,"",IF(Data!$C24="Lower is better",-1,1)*(Data!D24-AVERAGE(Data!D24,Data!G24,Data!J24,Data!M24,Data!P24,Data!S24))/STDEVP(Data!D24,Data!G24,Data!J24,Data!M24,Data!P24,Data!S24)*10+50))</f>
        <v/>
      </c>
      <c r="D23" s="13">
        <f>IF(COUNT(Data!D24,Data!G24,Data!J24,Data!M24,Data!P24,Data!S24)&lt;6,"",IF(STDEVP(Data!D24,Data!G24,Data!J24,Data!M24,Data!P24,Data!S24)=0,"",IF(Data!$C24="Lower is better",-1,1)*(Data!G24-AVERAGE(Data!D24,Data!G24,Data!J24,Data!M24,Data!P24,Data!S24))/STDEVP(Data!D24,Data!G24,Data!J24,Data!M24,Data!P24,Data!S24)*10+50))</f>
        <v/>
      </c>
      <c r="E23" s="13">
        <f>IF(COUNT(Data!D24,Data!G24,Data!J24,Data!M24,Data!P24,Data!S24)&lt;6,"",IF(STDEVP(Data!D24,Data!G24,Data!J24,Data!M24,Data!P24,Data!S24)=0,"",IF(Data!$C24="Lower is better",-1,1)*(Data!J24-AVERAGE(Data!D24,Data!G24,Data!J24,Data!M24,Data!P24,Data!S24))/STDEVP(Data!D24,Data!G24,Data!J24,Data!M24,Data!P24,Data!S24)*10+50))</f>
        <v/>
      </c>
      <c r="F23" s="13">
        <f>IF(COUNT(Data!D24,Data!G24,Data!J24,Data!M24,Data!P24,Data!S24)&lt;6,"",IF(STDEVP(Data!D24,Data!G24,Data!J24,Data!M24,Data!P24,Data!S24)=0,"",IF(Data!$C24="Lower is better",-1,1)*(Data!M24-AVERAGE(Data!D24,Data!G24,Data!J24,Data!M24,Data!P24,Data!S24))/STDEVP(Data!D24,Data!G24,Data!J24,Data!M24,Data!P24,Data!S24)*10+50))</f>
        <v/>
      </c>
      <c r="G23" s="13">
        <f>IF(COUNT(Data!D24,Data!G24,Data!J24,Data!M24,Data!P24,Data!S24)&lt;6,"",IF(STDEVP(Data!D24,Data!G24,Data!J24,Data!M24,Data!P24,Data!S24)=0,"",IF(Data!$C24="Lower is better",-1,1)*(Data!P24-AVERAGE(Data!D24,Data!G24,Data!J24,Data!M24,Data!P24,Data!S24))/STDEVP(Data!D24,Data!G24,Data!J24,Data!M24,Data!P24,Data!S24)*10+50))</f>
        <v/>
      </c>
      <c r="H23" s="13">
        <f>IF(COUNT(Data!D24,Data!G24,Data!J24,Data!M24,Data!P24,Data!S24)&lt;6,"",IF(STDEVP(Data!D24,Data!G24,Data!J24,Data!M24,Data!P24,Data!S24)=0,"",IF(Data!$C24="Lower is better",-1,1)*(Data!S24-AVERAGE(Data!D24,Data!G24,Data!J24,Data!M24,Data!P24,Data!S24))/STDEVP(Data!D24,Data!G24,Data!J24,Data!M24,Data!P24,Data!S24)*10+50))</f>
        <v/>
      </c>
    </row>
    <row r="24">
      <c r="A24" s="8">
        <f>Indicators!A24</f>
        <v/>
      </c>
      <c r="B24" s="12">
        <f>Indicators!C24</f>
        <v/>
      </c>
      <c r="C24" s="13">
        <f>IF(COUNT(Data!D25,Data!G25,Data!J25,Data!M25,Data!P25,Data!S25)&lt;6,"",IF(STDEVP(Data!D25,Data!G25,Data!J25,Data!M25,Data!P25,Data!S25)=0,"",IF(Data!$C25="Lower is better",-1,1)*(Data!D25-AVERAGE(Data!D25,Data!G25,Data!J25,Data!M25,Data!P25,Data!S25))/STDEVP(Data!D25,Data!G25,Data!J25,Data!M25,Data!P25,Data!S25)*10+50))</f>
        <v/>
      </c>
      <c r="D24" s="13">
        <f>IF(COUNT(Data!D25,Data!G25,Data!J25,Data!M25,Data!P25,Data!S25)&lt;6,"",IF(STDEVP(Data!D25,Data!G25,Data!J25,Data!M25,Data!P25,Data!S25)=0,"",IF(Data!$C25="Lower is better",-1,1)*(Data!G25-AVERAGE(Data!D25,Data!G25,Data!J25,Data!M25,Data!P25,Data!S25))/STDEVP(Data!D25,Data!G25,Data!J25,Data!M25,Data!P25,Data!S25)*10+50))</f>
        <v/>
      </c>
      <c r="E24" s="13">
        <f>IF(COUNT(Data!D25,Data!G25,Data!J25,Data!M25,Data!P25,Data!S25)&lt;6,"",IF(STDEVP(Data!D25,Data!G25,Data!J25,Data!M25,Data!P25,Data!S25)=0,"",IF(Data!$C25="Lower is better",-1,1)*(Data!J25-AVERAGE(Data!D25,Data!G25,Data!J25,Data!M25,Data!P25,Data!S25))/STDEVP(Data!D25,Data!G25,Data!J25,Data!M25,Data!P25,Data!S25)*10+50))</f>
        <v/>
      </c>
      <c r="F24" s="13">
        <f>IF(COUNT(Data!D25,Data!G25,Data!J25,Data!M25,Data!P25,Data!S25)&lt;6,"",IF(STDEVP(Data!D25,Data!G25,Data!J25,Data!M25,Data!P25,Data!S25)=0,"",IF(Data!$C25="Lower is better",-1,1)*(Data!M25-AVERAGE(Data!D25,Data!G25,Data!J25,Data!M25,Data!P25,Data!S25))/STDEVP(Data!D25,Data!G25,Data!J25,Data!M25,Data!P25,Data!S25)*10+50))</f>
        <v/>
      </c>
      <c r="G24" s="13">
        <f>IF(COUNT(Data!D25,Data!G25,Data!J25,Data!M25,Data!P25,Data!S25)&lt;6,"",IF(STDEVP(Data!D25,Data!G25,Data!J25,Data!M25,Data!P25,Data!S25)=0,"",IF(Data!$C25="Lower is better",-1,1)*(Data!P25-AVERAGE(Data!D25,Data!G25,Data!J25,Data!M25,Data!P25,Data!S25))/STDEVP(Data!D25,Data!G25,Data!J25,Data!M25,Data!P25,Data!S25)*10+50))</f>
        <v/>
      </c>
      <c r="H24" s="13">
        <f>IF(COUNT(Data!D25,Data!G25,Data!J25,Data!M25,Data!P25,Data!S25)&lt;6,"",IF(STDEVP(Data!D25,Data!G25,Data!J25,Data!M25,Data!P25,Data!S25)=0,"",IF(Data!$C25="Lower is better",-1,1)*(Data!S25-AVERAGE(Data!D25,Data!G25,Data!J25,Data!M25,Data!P25,Data!S25))/STDEVP(Data!D25,Data!G25,Data!J25,Data!M25,Data!P25,Data!S25)*10+50))</f>
        <v/>
      </c>
    </row>
    <row r="25">
      <c r="A25" s="8">
        <f>Indicators!A25</f>
        <v/>
      </c>
      <c r="B25" s="12">
        <f>Indicators!C25</f>
        <v/>
      </c>
      <c r="C25" s="13">
        <f>IF(COUNT(Data!D26,Data!G26,Data!J26,Data!M26,Data!P26,Data!S26)&lt;6,"",IF(STDEVP(Data!D26,Data!G26,Data!J26,Data!M26,Data!P26,Data!S26)=0,"",IF(Data!$C26="Lower is better",-1,1)*(Data!D26-AVERAGE(Data!D26,Data!G26,Data!J26,Data!M26,Data!P26,Data!S26))/STDEVP(Data!D26,Data!G26,Data!J26,Data!M26,Data!P26,Data!S26)*10+50))</f>
        <v/>
      </c>
      <c r="D25" s="13">
        <f>IF(COUNT(Data!D26,Data!G26,Data!J26,Data!M26,Data!P26,Data!S26)&lt;6,"",IF(STDEVP(Data!D26,Data!G26,Data!J26,Data!M26,Data!P26,Data!S26)=0,"",IF(Data!$C26="Lower is better",-1,1)*(Data!G26-AVERAGE(Data!D26,Data!G26,Data!J26,Data!M26,Data!P26,Data!S26))/STDEVP(Data!D26,Data!G26,Data!J26,Data!M26,Data!P26,Data!S26)*10+50))</f>
        <v/>
      </c>
      <c r="E25" s="13">
        <f>IF(COUNT(Data!D26,Data!G26,Data!J26,Data!M26,Data!P26,Data!S26)&lt;6,"",IF(STDEVP(Data!D26,Data!G26,Data!J26,Data!M26,Data!P26,Data!S26)=0,"",IF(Data!$C26="Lower is better",-1,1)*(Data!J26-AVERAGE(Data!D26,Data!G26,Data!J26,Data!M26,Data!P26,Data!S26))/STDEVP(Data!D26,Data!G26,Data!J26,Data!M26,Data!P26,Data!S26)*10+50))</f>
        <v/>
      </c>
      <c r="F25" s="13">
        <f>IF(COUNT(Data!D26,Data!G26,Data!J26,Data!M26,Data!P26,Data!S26)&lt;6,"",IF(STDEVP(Data!D26,Data!G26,Data!J26,Data!M26,Data!P26,Data!S26)=0,"",IF(Data!$C26="Lower is better",-1,1)*(Data!M26-AVERAGE(Data!D26,Data!G26,Data!J26,Data!M26,Data!P26,Data!S26))/STDEVP(Data!D26,Data!G26,Data!J26,Data!M26,Data!P26,Data!S26)*10+50))</f>
        <v/>
      </c>
      <c r="G25" s="13">
        <f>IF(COUNT(Data!D26,Data!G26,Data!J26,Data!M26,Data!P26,Data!S26)&lt;6,"",IF(STDEVP(Data!D26,Data!G26,Data!J26,Data!M26,Data!P26,Data!S26)=0,"",IF(Data!$C26="Lower is better",-1,1)*(Data!P26-AVERAGE(Data!D26,Data!G26,Data!J26,Data!M26,Data!P26,Data!S26))/STDEVP(Data!D26,Data!G26,Data!J26,Data!M26,Data!P26,Data!S26)*10+50))</f>
        <v/>
      </c>
      <c r="H25" s="13">
        <f>IF(COUNT(Data!D26,Data!G26,Data!J26,Data!M26,Data!P26,Data!S26)&lt;6,"",IF(STDEVP(Data!D26,Data!G26,Data!J26,Data!M26,Data!P26,Data!S26)=0,"",IF(Data!$C26="Lower is better",-1,1)*(Data!S26-AVERAGE(Data!D26,Data!G26,Data!J26,Data!M26,Data!P26,Data!S26))/STDEVP(Data!D26,Data!G26,Data!J26,Data!M26,Data!P26,Data!S26)*10+50))</f>
        <v/>
      </c>
    </row>
    <row r="26">
      <c r="A26" s="8">
        <f>Indicators!A26</f>
        <v/>
      </c>
      <c r="B26" s="12">
        <f>Indicators!C26</f>
        <v/>
      </c>
      <c r="C26" s="13">
        <f>IF(COUNT(Data!D27,Data!G27,Data!J27,Data!M27,Data!P27,Data!S27)&lt;6,"",IF(STDEVP(Data!D27,Data!G27,Data!J27,Data!M27,Data!P27,Data!S27)=0,"",IF(Data!$C27="Lower is better",-1,1)*(Data!D27-AVERAGE(Data!D27,Data!G27,Data!J27,Data!M27,Data!P27,Data!S27))/STDEVP(Data!D27,Data!G27,Data!J27,Data!M27,Data!P27,Data!S27)*10+50))</f>
        <v/>
      </c>
      <c r="D26" s="13">
        <f>IF(COUNT(Data!D27,Data!G27,Data!J27,Data!M27,Data!P27,Data!S27)&lt;6,"",IF(STDEVP(Data!D27,Data!G27,Data!J27,Data!M27,Data!P27,Data!S27)=0,"",IF(Data!$C27="Lower is better",-1,1)*(Data!G27-AVERAGE(Data!D27,Data!G27,Data!J27,Data!M27,Data!P27,Data!S27))/STDEVP(Data!D27,Data!G27,Data!J27,Data!M27,Data!P27,Data!S27)*10+50))</f>
        <v/>
      </c>
      <c r="E26" s="13">
        <f>IF(COUNT(Data!D27,Data!G27,Data!J27,Data!M27,Data!P27,Data!S27)&lt;6,"",IF(STDEVP(Data!D27,Data!G27,Data!J27,Data!M27,Data!P27,Data!S27)=0,"",IF(Data!$C27="Lower is better",-1,1)*(Data!J27-AVERAGE(Data!D27,Data!G27,Data!J27,Data!M27,Data!P27,Data!S27))/STDEVP(Data!D27,Data!G27,Data!J27,Data!M27,Data!P27,Data!S27)*10+50))</f>
        <v/>
      </c>
      <c r="F26" s="13">
        <f>IF(COUNT(Data!D27,Data!G27,Data!J27,Data!M27,Data!P27,Data!S27)&lt;6,"",IF(STDEVP(Data!D27,Data!G27,Data!J27,Data!M27,Data!P27,Data!S27)=0,"",IF(Data!$C27="Lower is better",-1,1)*(Data!M27-AVERAGE(Data!D27,Data!G27,Data!J27,Data!M27,Data!P27,Data!S27))/STDEVP(Data!D27,Data!G27,Data!J27,Data!M27,Data!P27,Data!S27)*10+50))</f>
        <v/>
      </c>
      <c r="G26" s="13">
        <f>IF(COUNT(Data!D27,Data!G27,Data!J27,Data!M27,Data!P27,Data!S27)&lt;6,"",IF(STDEVP(Data!D27,Data!G27,Data!J27,Data!M27,Data!P27,Data!S27)=0,"",IF(Data!$C27="Lower is better",-1,1)*(Data!P27-AVERAGE(Data!D27,Data!G27,Data!J27,Data!M27,Data!P27,Data!S27))/STDEVP(Data!D27,Data!G27,Data!J27,Data!M27,Data!P27,Data!S27)*10+50))</f>
        <v/>
      </c>
      <c r="H26" s="13">
        <f>IF(COUNT(Data!D27,Data!G27,Data!J27,Data!M27,Data!P27,Data!S27)&lt;6,"",IF(STDEVP(Data!D27,Data!G27,Data!J27,Data!M27,Data!P27,Data!S27)=0,"",IF(Data!$C27="Lower is better",-1,1)*(Data!S27-AVERAGE(Data!D27,Data!G27,Data!J27,Data!M27,Data!P27,Data!S27))/STDEVP(Data!D27,Data!G27,Data!J27,Data!M27,Data!P27,Data!S27)*10+50))</f>
        <v/>
      </c>
    </row>
    <row r="27">
      <c r="A27" s="8">
        <f>Indicators!A27</f>
        <v/>
      </c>
      <c r="B27" s="12">
        <f>Indicators!C27</f>
        <v/>
      </c>
      <c r="C27" s="13">
        <f>IF(COUNT(Data!D28,Data!G28,Data!J28,Data!M28,Data!P28,Data!S28)&lt;6,"",IF(STDEVP(Data!D28,Data!G28,Data!J28,Data!M28,Data!P28,Data!S28)=0,"",IF(Data!$C28="Lower is better",-1,1)*(Data!D28-AVERAGE(Data!D28,Data!G28,Data!J28,Data!M28,Data!P28,Data!S28))/STDEVP(Data!D28,Data!G28,Data!J28,Data!M28,Data!P28,Data!S28)*10+50))</f>
        <v/>
      </c>
      <c r="D27" s="13">
        <f>IF(COUNT(Data!D28,Data!G28,Data!J28,Data!M28,Data!P28,Data!S28)&lt;6,"",IF(STDEVP(Data!D28,Data!G28,Data!J28,Data!M28,Data!P28,Data!S28)=0,"",IF(Data!$C28="Lower is better",-1,1)*(Data!G28-AVERAGE(Data!D28,Data!G28,Data!J28,Data!M28,Data!P28,Data!S28))/STDEVP(Data!D28,Data!G28,Data!J28,Data!M28,Data!P28,Data!S28)*10+50))</f>
        <v/>
      </c>
      <c r="E27" s="13">
        <f>IF(COUNT(Data!D28,Data!G28,Data!J28,Data!M28,Data!P28,Data!S28)&lt;6,"",IF(STDEVP(Data!D28,Data!G28,Data!J28,Data!M28,Data!P28,Data!S28)=0,"",IF(Data!$C28="Lower is better",-1,1)*(Data!J28-AVERAGE(Data!D28,Data!G28,Data!J28,Data!M28,Data!P28,Data!S28))/STDEVP(Data!D28,Data!G28,Data!J28,Data!M28,Data!P28,Data!S28)*10+50))</f>
        <v/>
      </c>
      <c r="F27" s="13">
        <f>IF(COUNT(Data!D28,Data!G28,Data!J28,Data!M28,Data!P28,Data!S28)&lt;6,"",IF(STDEVP(Data!D28,Data!G28,Data!J28,Data!M28,Data!P28,Data!S28)=0,"",IF(Data!$C28="Lower is better",-1,1)*(Data!M28-AVERAGE(Data!D28,Data!G28,Data!J28,Data!M28,Data!P28,Data!S28))/STDEVP(Data!D28,Data!G28,Data!J28,Data!M28,Data!P28,Data!S28)*10+50))</f>
        <v/>
      </c>
      <c r="G27" s="13">
        <f>IF(COUNT(Data!D28,Data!G28,Data!J28,Data!M28,Data!P28,Data!S28)&lt;6,"",IF(STDEVP(Data!D28,Data!G28,Data!J28,Data!M28,Data!P28,Data!S28)=0,"",IF(Data!$C28="Lower is better",-1,1)*(Data!P28-AVERAGE(Data!D28,Data!G28,Data!J28,Data!M28,Data!P28,Data!S28))/STDEVP(Data!D28,Data!G28,Data!J28,Data!M28,Data!P28,Data!S28)*10+50))</f>
        <v/>
      </c>
      <c r="H27" s="13">
        <f>IF(COUNT(Data!D28,Data!G28,Data!J28,Data!M28,Data!P28,Data!S28)&lt;6,"",IF(STDEVP(Data!D28,Data!G28,Data!J28,Data!M28,Data!P28,Data!S28)=0,"",IF(Data!$C28="Lower is better",-1,1)*(Data!S28-AVERAGE(Data!D28,Data!G28,Data!J28,Data!M28,Data!P28,Data!S28))/STDEVP(Data!D28,Data!G28,Data!J28,Data!M28,Data!P28,Data!S28)*10+50))</f>
        <v/>
      </c>
    </row>
    <row r="28">
      <c r="A28" s="8">
        <f>Indicators!A28</f>
        <v/>
      </c>
      <c r="B28" s="12">
        <f>Indicators!C28</f>
        <v/>
      </c>
      <c r="C28" s="13">
        <f>IF(COUNT(Data!D29,Data!G29,Data!J29,Data!M29,Data!P29,Data!S29)&lt;6,"",IF(STDEVP(Data!D29,Data!G29,Data!J29,Data!M29,Data!P29,Data!S29)=0,"",IF(Data!$C29="Lower is better",-1,1)*(Data!D29-AVERAGE(Data!D29,Data!G29,Data!J29,Data!M29,Data!P29,Data!S29))/STDEVP(Data!D29,Data!G29,Data!J29,Data!M29,Data!P29,Data!S29)*10+50))</f>
        <v/>
      </c>
      <c r="D28" s="13">
        <f>IF(COUNT(Data!D29,Data!G29,Data!J29,Data!M29,Data!P29,Data!S29)&lt;6,"",IF(STDEVP(Data!D29,Data!G29,Data!J29,Data!M29,Data!P29,Data!S29)=0,"",IF(Data!$C29="Lower is better",-1,1)*(Data!G29-AVERAGE(Data!D29,Data!G29,Data!J29,Data!M29,Data!P29,Data!S29))/STDEVP(Data!D29,Data!G29,Data!J29,Data!M29,Data!P29,Data!S29)*10+50))</f>
        <v/>
      </c>
      <c r="E28" s="13">
        <f>IF(COUNT(Data!D29,Data!G29,Data!J29,Data!M29,Data!P29,Data!S29)&lt;6,"",IF(STDEVP(Data!D29,Data!G29,Data!J29,Data!M29,Data!P29,Data!S29)=0,"",IF(Data!$C29="Lower is better",-1,1)*(Data!J29-AVERAGE(Data!D29,Data!G29,Data!J29,Data!M29,Data!P29,Data!S29))/STDEVP(Data!D29,Data!G29,Data!J29,Data!M29,Data!P29,Data!S29)*10+50))</f>
        <v/>
      </c>
      <c r="F28" s="13">
        <f>IF(COUNT(Data!D29,Data!G29,Data!J29,Data!M29,Data!P29,Data!S29)&lt;6,"",IF(STDEVP(Data!D29,Data!G29,Data!J29,Data!M29,Data!P29,Data!S29)=0,"",IF(Data!$C29="Lower is better",-1,1)*(Data!M29-AVERAGE(Data!D29,Data!G29,Data!J29,Data!M29,Data!P29,Data!S29))/STDEVP(Data!D29,Data!G29,Data!J29,Data!M29,Data!P29,Data!S29)*10+50))</f>
        <v/>
      </c>
      <c r="G28" s="13">
        <f>IF(COUNT(Data!D29,Data!G29,Data!J29,Data!M29,Data!P29,Data!S29)&lt;6,"",IF(STDEVP(Data!D29,Data!G29,Data!J29,Data!M29,Data!P29,Data!S29)=0,"",IF(Data!$C29="Lower is better",-1,1)*(Data!P29-AVERAGE(Data!D29,Data!G29,Data!J29,Data!M29,Data!P29,Data!S29))/STDEVP(Data!D29,Data!G29,Data!J29,Data!M29,Data!P29,Data!S29)*10+50))</f>
        <v/>
      </c>
      <c r="H28" s="13">
        <f>IF(COUNT(Data!D29,Data!G29,Data!J29,Data!M29,Data!P29,Data!S29)&lt;6,"",IF(STDEVP(Data!D29,Data!G29,Data!J29,Data!M29,Data!P29,Data!S29)=0,"",IF(Data!$C29="Lower is better",-1,1)*(Data!S29-AVERAGE(Data!D29,Data!G29,Data!J29,Data!M29,Data!P29,Data!S29))/STDEVP(Data!D29,Data!G29,Data!J29,Data!M29,Data!P29,Data!S29)*10+50))</f>
        <v/>
      </c>
    </row>
    <row r="29">
      <c r="A29" s="8">
        <f>Indicators!A29</f>
        <v/>
      </c>
      <c r="B29" s="12">
        <f>Indicators!C29</f>
        <v/>
      </c>
      <c r="C29" s="13">
        <f>IF(COUNT(Data!D30,Data!G30,Data!J30,Data!M30,Data!P30,Data!S30)&lt;6,"",IF(STDEVP(Data!D30,Data!G30,Data!J30,Data!M30,Data!P30,Data!S30)=0,"",IF(Data!$C30="Lower is better",-1,1)*(Data!D30-AVERAGE(Data!D30,Data!G30,Data!J30,Data!M30,Data!P30,Data!S30))/STDEVP(Data!D30,Data!G30,Data!J30,Data!M30,Data!P30,Data!S30)*10+50))</f>
        <v/>
      </c>
      <c r="D29" s="13">
        <f>IF(COUNT(Data!D30,Data!G30,Data!J30,Data!M30,Data!P30,Data!S30)&lt;6,"",IF(STDEVP(Data!D30,Data!G30,Data!J30,Data!M30,Data!P30,Data!S30)=0,"",IF(Data!$C30="Lower is better",-1,1)*(Data!G30-AVERAGE(Data!D30,Data!G30,Data!J30,Data!M30,Data!P30,Data!S30))/STDEVP(Data!D30,Data!G30,Data!J30,Data!M30,Data!P30,Data!S30)*10+50))</f>
        <v/>
      </c>
      <c r="E29" s="13">
        <f>IF(COUNT(Data!D30,Data!G30,Data!J30,Data!M30,Data!P30,Data!S30)&lt;6,"",IF(STDEVP(Data!D30,Data!G30,Data!J30,Data!M30,Data!P30,Data!S30)=0,"",IF(Data!$C30="Lower is better",-1,1)*(Data!J30-AVERAGE(Data!D30,Data!G30,Data!J30,Data!M30,Data!P30,Data!S30))/STDEVP(Data!D30,Data!G30,Data!J30,Data!M30,Data!P30,Data!S30)*10+50))</f>
        <v/>
      </c>
      <c r="F29" s="13">
        <f>IF(COUNT(Data!D30,Data!G30,Data!J30,Data!M30,Data!P30,Data!S30)&lt;6,"",IF(STDEVP(Data!D30,Data!G30,Data!J30,Data!M30,Data!P30,Data!S30)=0,"",IF(Data!$C30="Lower is better",-1,1)*(Data!M30-AVERAGE(Data!D30,Data!G30,Data!J30,Data!M30,Data!P30,Data!S30))/STDEVP(Data!D30,Data!G30,Data!J30,Data!M30,Data!P30,Data!S30)*10+50))</f>
        <v/>
      </c>
      <c r="G29" s="13">
        <f>IF(COUNT(Data!D30,Data!G30,Data!J30,Data!M30,Data!P30,Data!S30)&lt;6,"",IF(STDEVP(Data!D30,Data!G30,Data!J30,Data!M30,Data!P30,Data!S30)=0,"",IF(Data!$C30="Lower is better",-1,1)*(Data!P30-AVERAGE(Data!D30,Data!G30,Data!J30,Data!M30,Data!P30,Data!S30))/STDEVP(Data!D30,Data!G30,Data!J30,Data!M30,Data!P30,Data!S30)*10+50))</f>
        <v/>
      </c>
      <c r="H29" s="13">
        <f>IF(COUNT(Data!D30,Data!G30,Data!J30,Data!M30,Data!P30,Data!S30)&lt;6,"",IF(STDEVP(Data!D30,Data!G30,Data!J30,Data!M30,Data!P30,Data!S30)=0,"",IF(Data!$C30="Lower is better",-1,1)*(Data!S30-AVERAGE(Data!D30,Data!G30,Data!J30,Data!M30,Data!P30,Data!S30))/STDEVP(Data!D30,Data!G30,Data!J30,Data!M30,Data!P30,Data!S30)*10+50))</f>
        <v/>
      </c>
    </row>
    <row r="30">
      <c r="A30" s="8">
        <f>Indicators!A30</f>
        <v/>
      </c>
      <c r="B30" s="12">
        <f>Indicators!C30</f>
        <v/>
      </c>
      <c r="C30" s="13">
        <f>IF(COUNT(Data!D31,Data!G31,Data!J31,Data!M31,Data!P31,Data!S31)&lt;6,"",IF(STDEVP(Data!D31,Data!G31,Data!J31,Data!M31,Data!P31,Data!S31)=0,"",IF(Data!$C31="Lower is better",-1,1)*(Data!D31-AVERAGE(Data!D31,Data!G31,Data!J31,Data!M31,Data!P31,Data!S31))/STDEVP(Data!D31,Data!G31,Data!J31,Data!M31,Data!P31,Data!S31)*10+50))</f>
        <v/>
      </c>
      <c r="D30" s="13">
        <f>IF(COUNT(Data!D31,Data!G31,Data!J31,Data!M31,Data!P31,Data!S31)&lt;6,"",IF(STDEVP(Data!D31,Data!G31,Data!J31,Data!M31,Data!P31,Data!S31)=0,"",IF(Data!$C31="Lower is better",-1,1)*(Data!G31-AVERAGE(Data!D31,Data!G31,Data!J31,Data!M31,Data!P31,Data!S31))/STDEVP(Data!D31,Data!G31,Data!J31,Data!M31,Data!P31,Data!S31)*10+50))</f>
        <v/>
      </c>
      <c r="E30" s="13">
        <f>IF(COUNT(Data!D31,Data!G31,Data!J31,Data!M31,Data!P31,Data!S31)&lt;6,"",IF(STDEVP(Data!D31,Data!G31,Data!J31,Data!M31,Data!P31,Data!S31)=0,"",IF(Data!$C31="Lower is better",-1,1)*(Data!J31-AVERAGE(Data!D31,Data!G31,Data!J31,Data!M31,Data!P31,Data!S31))/STDEVP(Data!D31,Data!G31,Data!J31,Data!M31,Data!P31,Data!S31)*10+50))</f>
        <v/>
      </c>
      <c r="F30" s="13">
        <f>IF(COUNT(Data!D31,Data!G31,Data!J31,Data!M31,Data!P31,Data!S31)&lt;6,"",IF(STDEVP(Data!D31,Data!G31,Data!J31,Data!M31,Data!P31,Data!S31)=0,"",IF(Data!$C31="Lower is better",-1,1)*(Data!M31-AVERAGE(Data!D31,Data!G31,Data!J31,Data!M31,Data!P31,Data!S31))/STDEVP(Data!D31,Data!G31,Data!J31,Data!M31,Data!P31,Data!S31)*10+50))</f>
        <v/>
      </c>
      <c r="G30" s="13">
        <f>IF(COUNT(Data!D31,Data!G31,Data!J31,Data!M31,Data!P31,Data!S31)&lt;6,"",IF(STDEVP(Data!D31,Data!G31,Data!J31,Data!M31,Data!P31,Data!S31)=0,"",IF(Data!$C31="Lower is better",-1,1)*(Data!P31-AVERAGE(Data!D31,Data!G31,Data!J31,Data!M31,Data!P31,Data!S31))/STDEVP(Data!D31,Data!G31,Data!J31,Data!M31,Data!P31,Data!S31)*10+50))</f>
        <v/>
      </c>
      <c r="H30" s="13">
        <f>IF(COUNT(Data!D31,Data!G31,Data!J31,Data!M31,Data!P31,Data!S31)&lt;6,"",IF(STDEVP(Data!D31,Data!G31,Data!J31,Data!M31,Data!P31,Data!S31)=0,"",IF(Data!$C31="Lower is better",-1,1)*(Data!S31-AVERAGE(Data!D31,Data!G31,Data!J31,Data!M31,Data!P31,Data!S31))/STDEVP(Data!D31,Data!G31,Data!J31,Data!M31,Data!P31,Data!S31)*10+50))</f>
        <v/>
      </c>
    </row>
    <row r="31">
      <c r="A31" s="8">
        <f>Indicators!A31</f>
        <v/>
      </c>
      <c r="B31" s="12">
        <f>Indicators!C31</f>
        <v/>
      </c>
      <c r="C31" s="13">
        <f>IF(COUNT(Data!D32,Data!G32,Data!J32,Data!M32,Data!P32,Data!S32)&lt;6,"",IF(STDEVP(Data!D32,Data!G32,Data!J32,Data!M32,Data!P32,Data!S32)=0,"",IF(Data!$C32="Lower is better",-1,1)*(Data!D32-AVERAGE(Data!D32,Data!G32,Data!J32,Data!M32,Data!P32,Data!S32))/STDEVP(Data!D32,Data!G32,Data!J32,Data!M32,Data!P32,Data!S32)*10+50))</f>
        <v/>
      </c>
      <c r="D31" s="13">
        <f>IF(COUNT(Data!D32,Data!G32,Data!J32,Data!M32,Data!P32,Data!S32)&lt;6,"",IF(STDEVP(Data!D32,Data!G32,Data!J32,Data!M32,Data!P32,Data!S32)=0,"",IF(Data!$C32="Lower is better",-1,1)*(Data!G32-AVERAGE(Data!D32,Data!G32,Data!J32,Data!M32,Data!P32,Data!S32))/STDEVP(Data!D32,Data!G32,Data!J32,Data!M32,Data!P32,Data!S32)*10+50))</f>
        <v/>
      </c>
      <c r="E31" s="13">
        <f>IF(COUNT(Data!D32,Data!G32,Data!J32,Data!M32,Data!P32,Data!S32)&lt;6,"",IF(STDEVP(Data!D32,Data!G32,Data!J32,Data!M32,Data!P32,Data!S32)=0,"",IF(Data!$C32="Lower is better",-1,1)*(Data!J32-AVERAGE(Data!D32,Data!G32,Data!J32,Data!M32,Data!P32,Data!S32))/STDEVP(Data!D32,Data!G32,Data!J32,Data!M32,Data!P32,Data!S32)*10+50))</f>
        <v/>
      </c>
      <c r="F31" s="13">
        <f>IF(COUNT(Data!D32,Data!G32,Data!J32,Data!M32,Data!P32,Data!S32)&lt;6,"",IF(STDEVP(Data!D32,Data!G32,Data!J32,Data!M32,Data!P32,Data!S32)=0,"",IF(Data!$C32="Lower is better",-1,1)*(Data!M32-AVERAGE(Data!D32,Data!G32,Data!J32,Data!M32,Data!P32,Data!S32))/STDEVP(Data!D32,Data!G32,Data!J32,Data!M32,Data!P32,Data!S32)*10+50))</f>
        <v/>
      </c>
      <c r="G31" s="13">
        <f>IF(COUNT(Data!D32,Data!G32,Data!J32,Data!M32,Data!P32,Data!S32)&lt;6,"",IF(STDEVP(Data!D32,Data!G32,Data!J32,Data!M32,Data!P32,Data!S32)=0,"",IF(Data!$C32="Lower is better",-1,1)*(Data!P32-AVERAGE(Data!D32,Data!G32,Data!J32,Data!M32,Data!P32,Data!S32))/STDEVP(Data!D32,Data!G32,Data!J32,Data!M32,Data!P32,Data!S32)*10+50))</f>
        <v/>
      </c>
      <c r="H31" s="13">
        <f>IF(COUNT(Data!D32,Data!G32,Data!J32,Data!M32,Data!P32,Data!S32)&lt;6,"",IF(STDEVP(Data!D32,Data!G32,Data!J32,Data!M32,Data!P32,Data!S32)=0,"",IF(Data!$C32="Lower is better",-1,1)*(Data!S32-AVERAGE(Data!D32,Data!G32,Data!J32,Data!M32,Data!P32,Data!S32))/STDEVP(Data!D32,Data!G32,Data!J32,Data!M32,Data!P32,Data!S32)*10+50))</f>
        <v/>
      </c>
    </row>
    <row r="32">
      <c r="A32" s="8">
        <f>Indicators!A32</f>
        <v/>
      </c>
      <c r="B32" s="12">
        <f>Indicators!C32</f>
        <v/>
      </c>
      <c r="C32" s="13">
        <f>IF(COUNT(Data!D33,Data!G33,Data!J33,Data!M33,Data!P33,Data!S33)&lt;6,"",IF(STDEVP(Data!D33,Data!G33,Data!J33,Data!M33,Data!P33,Data!S33)=0,"",IF(Data!$C33="Lower is better",-1,1)*(Data!D33-AVERAGE(Data!D33,Data!G33,Data!J33,Data!M33,Data!P33,Data!S33))/STDEVP(Data!D33,Data!G33,Data!J33,Data!M33,Data!P33,Data!S33)*10+50))</f>
        <v/>
      </c>
      <c r="D32" s="13">
        <f>IF(COUNT(Data!D33,Data!G33,Data!J33,Data!M33,Data!P33,Data!S33)&lt;6,"",IF(STDEVP(Data!D33,Data!G33,Data!J33,Data!M33,Data!P33,Data!S33)=0,"",IF(Data!$C33="Lower is better",-1,1)*(Data!G33-AVERAGE(Data!D33,Data!G33,Data!J33,Data!M33,Data!P33,Data!S33))/STDEVP(Data!D33,Data!G33,Data!J33,Data!M33,Data!P33,Data!S33)*10+50))</f>
        <v/>
      </c>
      <c r="E32" s="13">
        <f>IF(COUNT(Data!D33,Data!G33,Data!J33,Data!M33,Data!P33,Data!S33)&lt;6,"",IF(STDEVP(Data!D33,Data!G33,Data!J33,Data!M33,Data!P33,Data!S33)=0,"",IF(Data!$C33="Lower is better",-1,1)*(Data!J33-AVERAGE(Data!D33,Data!G33,Data!J33,Data!M33,Data!P33,Data!S33))/STDEVP(Data!D33,Data!G33,Data!J33,Data!M33,Data!P33,Data!S33)*10+50))</f>
        <v/>
      </c>
      <c r="F32" s="13">
        <f>IF(COUNT(Data!D33,Data!G33,Data!J33,Data!M33,Data!P33,Data!S33)&lt;6,"",IF(STDEVP(Data!D33,Data!G33,Data!J33,Data!M33,Data!P33,Data!S33)=0,"",IF(Data!$C33="Lower is better",-1,1)*(Data!M33-AVERAGE(Data!D33,Data!G33,Data!J33,Data!M33,Data!P33,Data!S33))/STDEVP(Data!D33,Data!G33,Data!J33,Data!M33,Data!P33,Data!S33)*10+50))</f>
        <v/>
      </c>
      <c r="G32" s="13">
        <f>IF(COUNT(Data!D33,Data!G33,Data!J33,Data!M33,Data!P33,Data!S33)&lt;6,"",IF(STDEVP(Data!D33,Data!G33,Data!J33,Data!M33,Data!P33,Data!S33)=0,"",IF(Data!$C33="Lower is better",-1,1)*(Data!P33-AVERAGE(Data!D33,Data!G33,Data!J33,Data!M33,Data!P33,Data!S33))/STDEVP(Data!D33,Data!G33,Data!J33,Data!M33,Data!P33,Data!S33)*10+50))</f>
        <v/>
      </c>
      <c r="H32" s="13">
        <f>IF(COUNT(Data!D33,Data!G33,Data!J33,Data!M33,Data!P33,Data!S33)&lt;6,"",IF(STDEVP(Data!D33,Data!G33,Data!J33,Data!M33,Data!P33,Data!S33)=0,"",IF(Data!$C33="Lower is better",-1,1)*(Data!S33-AVERAGE(Data!D33,Data!G33,Data!J33,Data!M33,Data!P33,Data!S33))/STDEVP(Data!D33,Data!G33,Data!J33,Data!M33,Data!P33,Data!S33)*10+50))</f>
        <v/>
      </c>
    </row>
    <row r="33">
      <c r="A33" s="8">
        <f>Indicators!A33</f>
        <v/>
      </c>
      <c r="B33" s="12">
        <f>Indicators!C33</f>
        <v/>
      </c>
      <c r="C33" s="13">
        <f>IF(COUNT(Data!D34,Data!G34,Data!J34,Data!M34,Data!P34,Data!S34)&lt;6,"",IF(STDEVP(Data!D34,Data!G34,Data!J34,Data!M34,Data!P34,Data!S34)=0,"",IF(Data!$C34="Lower is better",-1,1)*(Data!D34-AVERAGE(Data!D34,Data!G34,Data!J34,Data!M34,Data!P34,Data!S34))/STDEVP(Data!D34,Data!G34,Data!J34,Data!M34,Data!P34,Data!S34)*10+50))</f>
        <v/>
      </c>
      <c r="D33" s="13">
        <f>IF(COUNT(Data!D34,Data!G34,Data!J34,Data!M34,Data!P34,Data!S34)&lt;6,"",IF(STDEVP(Data!D34,Data!G34,Data!J34,Data!M34,Data!P34,Data!S34)=0,"",IF(Data!$C34="Lower is better",-1,1)*(Data!G34-AVERAGE(Data!D34,Data!G34,Data!J34,Data!M34,Data!P34,Data!S34))/STDEVP(Data!D34,Data!G34,Data!J34,Data!M34,Data!P34,Data!S34)*10+50))</f>
        <v/>
      </c>
      <c r="E33" s="13">
        <f>IF(COUNT(Data!D34,Data!G34,Data!J34,Data!M34,Data!P34,Data!S34)&lt;6,"",IF(STDEVP(Data!D34,Data!G34,Data!J34,Data!M34,Data!P34,Data!S34)=0,"",IF(Data!$C34="Lower is better",-1,1)*(Data!J34-AVERAGE(Data!D34,Data!G34,Data!J34,Data!M34,Data!P34,Data!S34))/STDEVP(Data!D34,Data!G34,Data!J34,Data!M34,Data!P34,Data!S34)*10+50))</f>
        <v/>
      </c>
      <c r="F33" s="13">
        <f>IF(COUNT(Data!D34,Data!G34,Data!J34,Data!M34,Data!P34,Data!S34)&lt;6,"",IF(STDEVP(Data!D34,Data!G34,Data!J34,Data!M34,Data!P34,Data!S34)=0,"",IF(Data!$C34="Lower is better",-1,1)*(Data!M34-AVERAGE(Data!D34,Data!G34,Data!J34,Data!M34,Data!P34,Data!S34))/STDEVP(Data!D34,Data!G34,Data!J34,Data!M34,Data!P34,Data!S34)*10+50))</f>
        <v/>
      </c>
      <c r="G33" s="13">
        <f>IF(COUNT(Data!D34,Data!G34,Data!J34,Data!M34,Data!P34,Data!S34)&lt;6,"",IF(STDEVP(Data!D34,Data!G34,Data!J34,Data!M34,Data!P34,Data!S34)=0,"",IF(Data!$C34="Lower is better",-1,1)*(Data!P34-AVERAGE(Data!D34,Data!G34,Data!J34,Data!M34,Data!P34,Data!S34))/STDEVP(Data!D34,Data!G34,Data!J34,Data!M34,Data!P34,Data!S34)*10+50))</f>
        <v/>
      </c>
      <c r="H33" s="13">
        <f>IF(COUNT(Data!D34,Data!G34,Data!J34,Data!M34,Data!P34,Data!S34)&lt;6,"",IF(STDEVP(Data!D34,Data!G34,Data!J34,Data!M34,Data!P34,Data!S34)=0,"",IF(Data!$C34="Lower is better",-1,1)*(Data!S34-AVERAGE(Data!D34,Data!G34,Data!J34,Data!M34,Data!P34,Data!S34))/STDEVP(Data!D34,Data!G34,Data!J34,Data!M34,Data!P34,Data!S34)*10+50))</f>
        <v/>
      </c>
    </row>
    <row r="34">
      <c r="A34" s="8">
        <f>Indicators!A34</f>
        <v/>
      </c>
      <c r="B34" s="12">
        <f>Indicators!C34</f>
        <v/>
      </c>
      <c r="C34" s="13">
        <f>IF(COUNT(Data!D35,Data!G35,Data!J35,Data!M35,Data!P35,Data!S35)&lt;6,"",IF(STDEVP(Data!D35,Data!G35,Data!J35,Data!M35,Data!P35,Data!S35)=0,"",IF(Data!$C35="Lower is better",-1,1)*(Data!D35-AVERAGE(Data!D35,Data!G35,Data!J35,Data!M35,Data!P35,Data!S35))/STDEVP(Data!D35,Data!G35,Data!J35,Data!M35,Data!P35,Data!S35)*10+50))</f>
        <v/>
      </c>
      <c r="D34" s="13">
        <f>IF(COUNT(Data!D35,Data!G35,Data!J35,Data!M35,Data!P35,Data!S35)&lt;6,"",IF(STDEVP(Data!D35,Data!G35,Data!J35,Data!M35,Data!P35,Data!S35)=0,"",IF(Data!$C35="Lower is better",-1,1)*(Data!G35-AVERAGE(Data!D35,Data!G35,Data!J35,Data!M35,Data!P35,Data!S35))/STDEVP(Data!D35,Data!G35,Data!J35,Data!M35,Data!P35,Data!S35)*10+50))</f>
        <v/>
      </c>
      <c r="E34" s="13">
        <f>IF(COUNT(Data!D35,Data!G35,Data!J35,Data!M35,Data!P35,Data!S35)&lt;6,"",IF(STDEVP(Data!D35,Data!G35,Data!J35,Data!M35,Data!P35,Data!S35)=0,"",IF(Data!$C35="Lower is better",-1,1)*(Data!J35-AVERAGE(Data!D35,Data!G35,Data!J35,Data!M35,Data!P35,Data!S35))/STDEVP(Data!D35,Data!G35,Data!J35,Data!M35,Data!P35,Data!S35)*10+50))</f>
        <v/>
      </c>
      <c r="F34" s="13">
        <f>IF(COUNT(Data!D35,Data!G35,Data!J35,Data!M35,Data!P35,Data!S35)&lt;6,"",IF(STDEVP(Data!D35,Data!G35,Data!J35,Data!M35,Data!P35,Data!S35)=0,"",IF(Data!$C35="Lower is better",-1,1)*(Data!M35-AVERAGE(Data!D35,Data!G35,Data!J35,Data!M35,Data!P35,Data!S35))/STDEVP(Data!D35,Data!G35,Data!J35,Data!M35,Data!P35,Data!S35)*10+50))</f>
        <v/>
      </c>
      <c r="G34" s="13">
        <f>IF(COUNT(Data!D35,Data!G35,Data!J35,Data!M35,Data!P35,Data!S35)&lt;6,"",IF(STDEVP(Data!D35,Data!G35,Data!J35,Data!M35,Data!P35,Data!S35)=0,"",IF(Data!$C35="Lower is better",-1,1)*(Data!P35-AVERAGE(Data!D35,Data!G35,Data!J35,Data!M35,Data!P35,Data!S35))/STDEVP(Data!D35,Data!G35,Data!J35,Data!M35,Data!P35,Data!S35)*10+50))</f>
        <v/>
      </c>
      <c r="H34" s="13">
        <f>IF(COUNT(Data!D35,Data!G35,Data!J35,Data!M35,Data!P35,Data!S35)&lt;6,"",IF(STDEVP(Data!D35,Data!G35,Data!J35,Data!M35,Data!P35,Data!S35)=0,"",IF(Data!$C35="Lower is better",-1,1)*(Data!S35-AVERAGE(Data!D35,Data!G35,Data!J35,Data!M35,Data!P35,Data!S35))/STDEVP(Data!D35,Data!G35,Data!J35,Data!M35,Data!P35,Data!S35)*10+50))</f>
        <v/>
      </c>
    </row>
    <row r="35">
      <c r="A35" s="8">
        <f>Indicators!A35</f>
        <v/>
      </c>
      <c r="B35" s="12">
        <f>Indicators!C35</f>
        <v/>
      </c>
      <c r="C35" s="13">
        <f>IF(COUNT(Data!D36,Data!G36,Data!J36,Data!M36,Data!P36,Data!S36)&lt;6,"",IF(STDEVP(Data!D36,Data!G36,Data!J36,Data!M36,Data!P36,Data!S36)=0,"",IF(Data!$C36="Lower is better",-1,1)*(Data!D36-AVERAGE(Data!D36,Data!G36,Data!J36,Data!M36,Data!P36,Data!S36))/STDEVP(Data!D36,Data!G36,Data!J36,Data!M36,Data!P36,Data!S36)*10+50))</f>
        <v/>
      </c>
      <c r="D35" s="13">
        <f>IF(COUNT(Data!D36,Data!G36,Data!J36,Data!M36,Data!P36,Data!S36)&lt;6,"",IF(STDEVP(Data!D36,Data!G36,Data!J36,Data!M36,Data!P36,Data!S36)=0,"",IF(Data!$C36="Lower is better",-1,1)*(Data!G36-AVERAGE(Data!D36,Data!G36,Data!J36,Data!M36,Data!P36,Data!S36))/STDEVP(Data!D36,Data!G36,Data!J36,Data!M36,Data!P36,Data!S36)*10+50))</f>
        <v/>
      </c>
      <c r="E35" s="13">
        <f>IF(COUNT(Data!D36,Data!G36,Data!J36,Data!M36,Data!P36,Data!S36)&lt;6,"",IF(STDEVP(Data!D36,Data!G36,Data!J36,Data!M36,Data!P36,Data!S36)=0,"",IF(Data!$C36="Lower is better",-1,1)*(Data!J36-AVERAGE(Data!D36,Data!G36,Data!J36,Data!M36,Data!P36,Data!S36))/STDEVP(Data!D36,Data!G36,Data!J36,Data!M36,Data!P36,Data!S36)*10+50))</f>
        <v/>
      </c>
      <c r="F35" s="13">
        <f>IF(COUNT(Data!D36,Data!G36,Data!J36,Data!M36,Data!P36,Data!S36)&lt;6,"",IF(STDEVP(Data!D36,Data!G36,Data!J36,Data!M36,Data!P36,Data!S36)=0,"",IF(Data!$C36="Lower is better",-1,1)*(Data!M36-AVERAGE(Data!D36,Data!G36,Data!J36,Data!M36,Data!P36,Data!S36))/STDEVP(Data!D36,Data!G36,Data!J36,Data!M36,Data!P36,Data!S36)*10+50))</f>
        <v/>
      </c>
      <c r="G35" s="13">
        <f>IF(COUNT(Data!D36,Data!G36,Data!J36,Data!M36,Data!P36,Data!S36)&lt;6,"",IF(STDEVP(Data!D36,Data!G36,Data!J36,Data!M36,Data!P36,Data!S36)=0,"",IF(Data!$C36="Lower is better",-1,1)*(Data!P36-AVERAGE(Data!D36,Data!G36,Data!J36,Data!M36,Data!P36,Data!S36))/STDEVP(Data!D36,Data!G36,Data!J36,Data!M36,Data!P36,Data!S36)*10+50))</f>
        <v/>
      </c>
      <c r="H35" s="13">
        <f>IF(COUNT(Data!D36,Data!G36,Data!J36,Data!M36,Data!P36,Data!S36)&lt;6,"",IF(STDEVP(Data!D36,Data!G36,Data!J36,Data!M36,Data!P36,Data!S36)=0,"",IF(Data!$C36="Lower is better",-1,1)*(Data!S36-AVERAGE(Data!D36,Data!G36,Data!J36,Data!M36,Data!P36,Data!S36))/STDEVP(Data!D36,Data!G36,Data!J36,Data!M36,Data!P36,Data!S36)*10+50))</f>
        <v/>
      </c>
    </row>
    <row r="36">
      <c r="A36" s="8">
        <f>Indicators!A36</f>
        <v/>
      </c>
      <c r="B36" s="12">
        <f>Indicators!C36</f>
        <v/>
      </c>
      <c r="C36" s="13">
        <f>IF(COUNT(Data!D37,Data!G37,Data!J37,Data!M37,Data!P37,Data!S37)&lt;6,"",IF(STDEVP(Data!D37,Data!G37,Data!J37,Data!M37,Data!P37,Data!S37)=0,"",IF(Data!$C37="Lower is better",-1,1)*(Data!D37-AVERAGE(Data!D37,Data!G37,Data!J37,Data!M37,Data!P37,Data!S37))/STDEVP(Data!D37,Data!G37,Data!J37,Data!M37,Data!P37,Data!S37)*10+50))</f>
        <v/>
      </c>
      <c r="D36" s="13">
        <f>IF(COUNT(Data!D37,Data!G37,Data!J37,Data!M37,Data!P37,Data!S37)&lt;6,"",IF(STDEVP(Data!D37,Data!G37,Data!J37,Data!M37,Data!P37,Data!S37)=0,"",IF(Data!$C37="Lower is better",-1,1)*(Data!G37-AVERAGE(Data!D37,Data!G37,Data!J37,Data!M37,Data!P37,Data!S37))/STDEVP(Data!D37,Data!G37,Data!J37,Data!M37,Data!P37,Data!S37)*10+50))</f>
        <v/>
      </c>
      <c r="E36" s="13">
        <f>IF(COUNT(Data!D37,Data!G37,Data!J37,Data!M37,Data!P37,Data!S37)&lt;6,"",IF(STDEVP(Data!D37,Data!G37,Data!J37,Data!M37,Data!P37,Data!S37)=0,"",IF(Data!$C37="Lower is better",-1,1)*(Data!J37-AVERAGE(Data!D37,Data!G37,Data!J37,Data!M37,Data!P37,Data!S37))/STDEVP(Data!D37,Data!G37,Data!J37,Data!M37,Data!P37,Data!S37)*10+50))</f>
        <v/>
      </c>
      <c r="F36" s="13">
        <f>IF(COUNT(Data!D37,Data!G37,Data!J37,Data!M37,Data!P37,Data!S37)&lt;6,"",IF(STDEVP(Data!D37,Data!G37,Data!J37,Data!M37,Data!P37,Data!S37)=0,"",IF(Data!$C37="Lower is better",-1,1)*(Data!M37-AVERAGE(Data!D37,Data!G37,Data!J37,Data!M37,Data!P37,Data!S37))/STDEVP(Data!D37,Data!G37,Data!J37,Data!M37,Data!P37,Data!S37)*10+50))</f>
        <v/>
      </c>
      <c r="G36" s="13">
        <f>IF(COUNT(Data!D37,Data!G37,Data!J37,Data!M37,Data!P37,Data!S37)&lt;6,"",IF(STDEVP(Data!D37,Data!G37,Data!J37,Data!M37,Data!P37,Data!S37)=0,"",IF(Data!$C37="Lower is better",-1,1)*(Data!P37-AVERAGE(Data!D37,Data!G37,Data!J37,Data!M37,Data!P37,Data!S37))/STDEVP(Data!D37,Data!G37,Data!J37,Data!M37,Data!P37,Data!S37)*10+50))</f>
        <v/>
      </c>
      <c r="H36" s="13">
        <f>IF(COUNT(Data!D37,Data!G37,Data!J37,Data!M37,Data!P37,Data!S37)&lt;6,"",IF(STDEVP(Data!D37,Data!G37,Data!J37,Data!M37,Data!P37,Data!S37)=0,"",IF(Data!$C37="Lower is better",-1,1)*(Data!S37-AVERAGE(Data!D37,Data!G37,Data!J37,Data!M37,Data!P37,Data!S37))/STDEVP(Data!D37,Data!G37,Data!J37,Data!M37,Data!P37,Data!S37)*10+50))</f>
        <v/>
      </c>
    </row>
    <row r="37">
      <c r="A37" s="8">
        <f>Indicators!A37</f>
        <v/>
      </c>
      <c r="B37" s="12">
        <f>Indicators!C37</f>
        <v/>
      </c>
      <c r="C37" s="13">
        <f>IF(COUNT(Data!D38,Data!G38,Data!J38,Data!M38,Data!P38,Data!S38)&lt;6,"",IF(STDEVP(Data!D38,Data!G38,Data!J38,Data!M38,Data!P38,Data!S38)=0,"",IF(Data!$C38="Lower is better",-1,1)*(Data!D38-AVERAGE(Data!D38,Data!G38,Data!J38,Data!M38,Data!P38,Data!S38))/STDEVP(Data!D38,Data!G38,Data!J38,Data!M38,Data!P38,Data!S38)*10+50))</f>
        <v/>
      </c>
      <c r="D37" s="13">
        <f>IF(COUNT(Data!D38,Data!G38,Data!J38,Data!M38,Data!P38,Data!S38)&lt;6,"",IF(STDEVP(Data!D38,Data!G38,Data!J38,Data!M38,Data!P38,Data!S38)=0,"",IF(Data!$C38="Lower is better",-1,1)*(Data!G38-AVERAGE(Data!D38,Data!G38,Data!J38,Data!M38,Data!P38,Data!S38))/STDEVP(Data!D38,Data!G38,Data!J38,Data!M38,Data!P38,Data!S38)*10+50))</f>
        <v/>
      </c>
      <c r="E37" s="13">
        <f>IF(COUNT(Data!D38,Data!G38,Data!J38,Data!M38,Data!P38,Data!S38)&lt;6,"",IF(STDEVP(Data!D38,Data!G38,Data!J38,Data!M38,Data!P38,Data!S38)=0,"",IF(Data!$C38="Lower is better",-1,1)*(Data!J38-AVERAGE(Data!D38,Data!G38,Data!J38,Data!M38,Data!P38,Data!S38))/STDEVP(Data!D38,Data!G38,Data!J38,Data!M38,Data!P38,Data!S38)*10+50))</f>
        <v/>
      </c>
      <c r="F37" s="13">
        <f>IF(COUNT(Data!D38,Data!G38,Data!J38,Data!M38,Data!P38,Data!S38)&lt;6,"",IF(STDEVP(Data!D38,Data!G38,Data!J38,Data!M38,Data!P38,Data!S38)=0,"",IF(Data!$C38="Lower is better",-1,1)*(Data!M38-AVERAGE(Data!D38,Data!G38,Data!J38,Data!M38,Data!P38,Data!S38))/STDEVP(Data!D38,Data!G38,Data!J38,Data!M38,Data!P38,Data!S38)*10+50))</f>
        <v/>
      </c>
      <c r="G37" s="13">
        <f>IF(COUNT(Data!D38,Data!G38,Data!J38,Data!M38,Data!P38,Data!S38)&lt;6,"",IF(STDEVP(Data!D38,Data!G38,Data!J38,Data!M38,Data!P38,Data!S38)=0,"",IF(Data!$C38="Lower is better",-1,1)*(Data!P38-AVERAGE(Data!D38,Data!G38,Data!J38,Data!M38,Data!P38,Data!S38))/STDEVP(Data!D38,Data!G38,Data!J38,Data!M38,Data!P38,Data!S38)*10+50))</f>
        <v/>
      </c>
      <c r="H37" s="13">
        <f>IF(COUNT(Data!D38,Data!G38,Data!J38,Data!M38,Data!P38,Data!S38)&lt;6,"",IF(STDEVP(Data!D38,Data!G38,Data!J38,Data!M38,Data!P38,Data!S38)=0,"",IF(Data!$C38="Lower is better",-1,1)*(Data!S38-AVERAGE(Data!D38,Data!G38,Data!J38,Data!M38,Data!P38,Data!S38))/STDEVP(Data!D38,Data!G38,Data!J38,Data!M38,Data!P38,Data!S38)*10+50))</f>
        <v/>
      </c>
    </row>
    <row r="38">
      <c r="A38" s="8">
        <f>Indicators!A38</f>
        <v/>
      </c>
      <c r="B38" s="12">
        <f>Indicators!C38</f>
        <v/>
      </c>
      <c r="C38" s="13">
        <f>IF(COUNT(Data!D39,Data!G39,Data!J39,Data!M39,Data!P39,Data!S39)&lt;6,"",IF(STDEVP(Data!D39,Data!G39,Data!J39,Data!M39,Data!P39,Data!S39)=0,"",IF(Data!$C39="Lower is better",-1,1)*(Data!D39-AVERAGE(Data!D39,Data!G39,Data!J39,Data!M39,Data!P39,Data!S39))/STDEVP(Data!D39,Data!G39,Data!J39,Data!M39,Data!P39,Data!S39)*10+50))</f>
        <v/>
      </c>
      <c r="D38" s="13">
        <f>IF(COUNT(Data!D39,Data!G39,Data!J39,Data!M39,Data!P39,Data!S39)&lt;6,"",IF(STDEVP(Data!D39,Data!G39,Data!J39,Data!M39,Data!P39,Data!S39)=0,"",IF(Data!$C39="Lower is better",-1,1)*(Data!G39-AVERAGE(Data!D39,Data!G39,Data!J39,Data!M39,Data!P39,Data!S39))/STDEVP(Data!D39,Data!G39,Data!J39,Data!M39,Data!P39,Data!S39)*10+50))</f>
        <v/>
      </c>
      <c r="E38" s="13">
        <f>IF(COUNT(Data!D39,Data!G39,Data!J39,Data!M39,Data!P39,Data!S39)&lt;6,"",IF(STDEVP(Data!D39,Data!G39,Data!J39,Data!M39,Data!P39,Data!S39)=0,"",IF(Data!$C39="Lower is better",-1,1)*(Data!J39-AVERAGE(Data!D39,Data!G39,Data!J39,Data!M39,Data!P39,Data!S39))/STDEVP(Data!D39,Data!G39,Data!J39,Data!M39,Data!P39,Data!S39)*10+50))</f>
        <v/>
      </c>
      <c r="F38" s="13">
        <f>IF(COUNT(Data!D39,Data!G39,Data!J39,Data!M39,Data!P39,Data!S39)&lt;6,"",IF(STDEVP(Data!D39,Data!G39,Data!J39,Data!M39,Data!P39,Data!S39)=0,"",IF(Data!$C39="Lower is better",-1,1)*(Data!M39-AVERAGE(Data!D39,Data!G39,Data!J39,Data!M39,Data!P39,Data!S39))/STDEVP(Data!D39,Data!G39,Data!J39,Data!M39,Data!P39,Data!S39)*10+50))</f>
        <v/>
      </c>
      <c r="G38" s="13">
        <f>IF(COUNT(Data!D39,Data!G39,Data!J39,Data!M39,Data!P39,Data!S39)&lt;6,"",IF(STDEVP(Data!D39,Data!G39,Data!J39,Data!M39,Data!P39,Data!S39)=0,"",IF(Data!$C39="Lower is better",-1,1)*(Data!P39-AVERAGE(Data!D39,Data!G39,Data!J39,Data!M39,Data!P39,Data!S39))/STDEVP(Data!D39,Data!G39,Data!J39,Data!M39,Data!P39,Data!S39)*10+50))</f>
        <v/>
      </c>
      <c r="H38" s="13">
        <f>IF(COUNT(Data!D39,Data!G39,Data!J39,Data!M39,Data!P39,Data!S39)&lt;6,"",IF(STDEVP(Data!D39,Data!G39,Data!J39,Data!M39,Data!P39,Data!S39)=0,"",IF(Data!$C39="Lower is better",-1,1)*(Data!S39-AVERAGE(Data!D39,Data!G39,Data!J39,Data!M39,Data!P39,Data!S39))/STDEVP(Data!D39,Data!G39,Data!J39,Data!M39,Data!P39,Data!S39)*10+50))</f>
        <v/>
      </c>
    </row>
    <row r="39">
      <c r="A39" s="8">
        <f>Indicators!A39</f>
        <v/>
      </c>
      <c r="B39" s="12">
        <f>Indicators!C39</f>
        <v/>
      </c>
      <c r="C39" s="13">
        <f>IF(COUNT(Data!D40,Data!G40,Data!J40,Data!M40,Data!P40,Data!S40)&lt;6,"",IF(STDEVP(Data!D40,Data!G40,Data!J40,Data!M40,Data!P40,Data!S40)=0,"",IF(Data!$C40="Lower is better",-1,1)*(Data!D40-AVERAGE(Data!D40,Data!G40,Data!J40,Data!M40,Data!P40,Data!S40))/STDEVP(Data!D40,Data!G40,Data!J40,Data!M40,Data!P40,Data!S40)*10+50))</f>
        <v/>
      </c>
      <c r="D39" s="13">
        <f>IF(COUNT(Data!D40,Data!G40,Data!J40,Data!M40,Data!P40,Data!S40)&lt;6,"",IF(STDEVP(Data!D40,Data!G40,Data!J40,Data!M40,Data!P40,Data!S40)=0,"",IF(Data!$C40="Lower is better",-1,1)*(Data!G40-AVERAGE(Data!D40,Data!G40,Data!J40,Data!M40,Data!P40,Data!S40))/STDEVP(Data!D40,Data!G40,Data!J40,Data!M40,Data!P40,Data!S40)*10+50))</f>
        <v/>
      </c>
      <c r="E39" s="13">
        <f>IF(COUNT(Data!D40,Data!G40,Data!J40,Data!M40,Data!P40,Data!S40)&lt;6,"",IF(STDEVP(Data!D40,Data!G40,Data!J40,Data!M40,Data!P40,Data!S40)=0,"",IF(Data!$C40="Lower is better",-1,1)*(Data!J40-AVERAGE(Data!D40,Data!G40,Data!J40,Data!M40,Data!P40,Data!S40))/STDEVP(Data!D40,Data!G40,Data!J40,Data!M40,Data!P40,Data!S40)*10+50))</f>
        <v/>
      </c>
      <c r="F39" s="13">
        <f>IF(COUNT(Data!D40,Data!G40,Data!J40,Data!M40,Data!P40,Data!S40)&lt;6,"",IF(STDEVP(Data!D40,Data!G40,Data!J40,Data!M40,Data!P40,Data!S40)=0,"",IF(Data!$C40="Lower is better",-1,1)*(Data!M40-AVERAGE(Data!D40,Data!G40,Data!J40,Data!M40,Data!P40,Data!S40))/STDEVP(Data!D40,Data!G40,Data!J40,Data!M40,Data!P40,Data!S40)*10+50))</f>
        <v/>
      </c>
      <c r="G39" s="13">
        <f>IF(COUNT(Data!D40,Data!G40,Data!J40,Data!M40,Data!P40,Data!S40)&lt;6,"",IF(STDEVP(Data!D40,Data!G40,Data!J40,Data!M40,Data!P40,Data!S40)=0,"",IF(Data!$C40="Lower is better",-1,1)*(Data!P40-AVERAGE(Data!D40,Data!G40,Data!J40,Data!M40,Data!P40,Data!S40))/STDEVP(Data!D40,Data!G40,Data!J40,Data!M40,Data!P40,Data!S40)*10+50))</f>
        <v/>
      </c>
      <c r="H39" s="13">
        <f>IF(COUNT(Data!D40,Data!G40,Data!J40,Data!M40,Data!P40,Data!S40)&lt;6,"",IF(STDEVP(Data!D40,Data!G40,Data!J40,Data!M40,Data!P40,Data!S40)=0,"",IF(Data!$C40="Lower is better",-1,1)*(Data!S40-AVERAGE(Data!D40,Data!G40,Data!J40,Data!M40,Data!P40,Data!S40))/STDEVP(Data!D40,Data!G40,Data!J40,Data!M40,Data!P40,Data!S40)*10+50))</f>
        <v/>
      </c>
    </row>
    <row r="40">
      <c r="A40" s="8">
        <f>Indicators!A40</f>
        <v/>
      </c>
      <c r="B40" s="12">
        <f>Indicators!C40</f>
        <v/>
      </c>
      <c r="C40" s="13">
        <f>IF(COUNT(Data!D41,Data!G41,Data!J41,Data!M41,Data!P41,Data!S41)&lt;6,"",IF(STDEVP(Data!D41,Data!G41,Data!J41,Data!M41,Data!P41,Data!S41)=0,"",IF(Data!$C41="Lower is better",-1,1)*(Data!D41-AVERAGE(Data!D41,Data!G41,Data!J41,Data!M41,Data!P41,Data!S41))/STDEVP(Data!D41,Data!G41,Data!J41,Data!M41,Data!P41,Data!S41)*10+50))</f>
        <v/>
      </c>
      <c r="D40" s="13">
        <f>IF(COUNT(Data!D41,Data!G41,Data!J41,Data!M41,Data!P41,Data!S41)&lt;6,"",IF(STDEVP(Data!D41,Data!G41,Data!J41,Data!M41,Data!P41,Data!S41)=0,"",IF(Data!$C41="Lower is better",-1,1)*(Data!G41-AVERAGE(Data!D41,Data!G41,Data!J41,Data!M41,Data!P41,Data!S41))/STDEVP(Data!D41,Data!G41,Data!J41,Data!M41,Data!P41,Data!S41)*10+50))</f>
        <v/>
      </c>
      <c r="E40" s="13">
        <f>IF(COUNT(Data!D41,Data!G41,Data!J41,Data!M41,Data!P41,Data!S41)&lt;6,"",IF(STDEVP(Data!D41,Data!G41,Data!J41,Data!M41,Data!P41,Data!S41)=0,"",IF(Data!$C41="Lower is better",-1,1)*(Data!J41-AVERAGE(Data!D41,Data!G41,Data!J41,Data!M41,Data!P41,Data!S41))/STDEVP(Data!D41,Data!G41,Data!J41,Data!M41,Data!P41,Data!S41)*10+50))</f>
        <v/>
      </c>
      <c r="F40" s="13">
        <f>IF(COUNT(Data!D41,Data!G41,Data!J41,Data!M41,Data!P41,Data!S41)&lt;6,"",IF(STDEVP(Data!D41,Data!G41,Data!J41,Data!M41,Data!P41,Data!S41)=0,"",IF(Data!$C41="Lower is better",-1,1)*(Data!M41-AVERAGE(Data!D41,Data!G41,Data!J41,Data!M41,Data!P41,Data!S41))/STDEVP(Data!D41,Data!G41,Data!J41,Data!M41,Data!P41,Data!S41)*10+50))</f>
        <v/>
      </c>
      <c r="G40" s="13">
        <f>IF(COUNT(Data!D41,Data!G41,Data!J41,Data!M41,Data!P41,Data!S41)&lt;6,"",IF(STDEVP(Data!D41,Data!G41,Data!J41,Data!M41,Data!P41,Data!S41)=0,"",IF(Data!$C41="Lower is better",-1,1)*(Data!P41-AVERAGE(Data!D41,Data!G41,Data!J41,Data!M41,Data!P41,Data!S41))/STDEVP(Data!D41,Data!G41,Data!J41,Data!M41,Data!P41,Data!S41)*10+50))</f>
        <v/>
      </c>
      <c r="H40" s="13">
        <f>IF(COUNT(Data!D41,Data!G41,Data!J41,Data!M41,Data!P41,Data!S41)&lt;6,"",IF(STDEVP(Data!D41,Data!G41,Data!J41,Data!M41,Data!P41,Data!S41)=0,"",IF(Data!$C41="Lower is better",-1,1)*(Data!S41-AVERAGE(Data!D41,Data!G41,Data!J41,Data!M41,Data!P41,Data!S41))/STDEVP(Data!D41,Data!G41,Data!J41,Data!M41,Data!P41,Data!S41)*10+50))</f>
        <v/>
      </c>
    </row>
    <row r="41">
      <c r="A41" s="8">
        <f>Indicators!A41</f>
        <v/>
      </c>
      <c r="B41" s="12">
        <f>Indicators!C41</f>
        <v/>
      </c>
      <c r="C41" s="13">
        <f>IF(COUNT(Data!D42,Data!G42,Data!J42,Data!M42,Data!P42,Data!S42)&lt;6,"",IF(STDEVP(Data!D42,Data!G42,Data!J42,Data!M42,Data!P42,Data!S42)=0,"",IF(Data!$C42="Lower is better",-1,1)*(Data!D42-AVERAGE(Data!D42,Data!G42,Data!J42,Data!M42,Data!P42,Data!S42))/STDEVP(Data!D42,Data!G42,Data!J42,Data!M42,Data!P42,Data!S42)*10+50))</f>
        <v/>
      </c>
      <c r="D41" s="13">
        <f>IF(COUNT(Data!D42,Data!G42,Data!J42,Data!M42,Data!P42,Data!S42)&lt;6,"",IF(STDEVP(Data!D42,Data!G42,Data!J42,Data!M42,Data!P42,Data!S42)=0,"",IF(Data!$C42="Lower is better",-1,1)*(Data!G42-AVERAGE(Data!D42,Data!G42,Data!J42,Data!M42,Data!P42,Data!S42))/STDEVP(Data!D42,Data!G42,Data!J42,Data!M42,Data!P42,Data!S42)*10+50))</f>
        <v/>
      </c>
      <c r="E41" s="13">
        <f>IF(COUNT(Data!D42,Data!G42,Data!J42,Data!M42,Data!P42,Data!S42)&lt;6,"",IF(STDEVP(Data!D42,Data!G42,Data!J42,Data!M42,Data!P42,Data!S42)=0,"",IF(Data!$C42="Lower is better",-1,1)*(Data!J42-AVERAGE(Data!D42,Data!G42,Data!J42,Data!M42,Data!P42,Data!S42))/STDEVP(Data!D42,Data!G42,Data!J42,Data!M42,Data!P42,Data!S42)*10+50))</f>
        <v/>
      </c>
      <c r="F41" s="13">
        <f>IF(COUNT(Data!D42,Data!G42,Data!J42,Data!M42,Data!P42,Data!S42)&lt;6,"",IF(STDEVP(Data!D42,Data!G42,Data!J42,Data!M42,Data!P42,Data!S42)=0,"",IF(Data!$C42="Lower is better",-1,1)*(Data!M42-AVERAGE(Data!D42,Data!G42,Data!J42,Data!M42,Data!P42,Data!S42))/STDEVP(Data!D42,Data!G42,Data!J42,Data!M42,Data!P42,Data!S42)*10+50))</f>
        <v/>
      </c>
      <c r="G41" s="13">
        <f>IF(COUNT(Data!D42,Data!G42,Data!J42,Data!M42,Data!P42,Data!S42)&lt;6,"",IF(STDEVP(Data!D42,Data!G42,Data!J42,Data!M42,Data!P42,Data!S42)=0,"",IF(Data!$C42="Lower is better",-1,1)*(Data!P42-AVERAGE(Data!D42,Data!G42,Data!J42,Data!M42,Data!P42,Data!S42))/STDEVP(Data!D42,Data!G42,Data!J42,Data!M42,Data!P42,Data!S42)*10+50))</f>
        <v/>
      </c>
      <c r="H41" s="13">
        <f>IF(COUNT(Data!D42,Data!G42,Data!J42,Data!M42,Data!P42,Data!S42)&lt;6,"",IF(STDEVP(Data!D42,Data!G42,Data!J42,Data!M42,Data!P42,Data!S42)=0,"",IF(Data!$C42="Lower is better",-1,1)*(Data!S42-AVERAGE(Data!D42,Data!G42,Data!J42,Data!M42,Data!P42,Data!S42))/STDEVP(Data!D42,Data!G42,Data!J42,Data!M42,Data!P42,Data!S42)*10+50))</f>
        <v/>
      </c>
    </row>
    <row r="42">
      <c r="A42" s="8">
        <f>Indicators!A42</f>
        <v/>
      </c>
      <c r="B42" s="12">
        <f>Indicators!C42</f>
        <v/>
      </c>
      <c r="C42" s="13">
        <f>IF(COUNT(Data!D43,Data!G43,Data!J43,Data!M43,Data!P43,Data!S43)&lt;6,"",IF(STDEVP(Data!D43,Data!G43,Data!J43,Data!M43,Data!P43,Data!S43)=0,"",IF(Data!$C43="Lower is better",-1,1)*(Data!D43-AVERAGE(Data!D43,Data!G43,Data!J43,Data!M43,Data!P43,Data!S43))/STDEVP(Data!D43,Data!G43,Data!J43,Data!M43,Data!P43,Data!S43)*10+50))</f>
        <v/>
      </c>
      <c r="D42" s="13">
        <f>IF(COUNT(Data!D43,Data!G43,Data!J43,Data!M43,Data!P43,Data!S43)&lt;6,"",IF(STDEVP(Data!D43,Data!G43,Data!J43,Data!M43,Data!P43,Data!S43)=0,"",IF(Data!$C43="Lower is better",-1,1)*(Data!G43-AVERAGE(Data!D43,Data!G43,Data!J43,Data!M43,Data!P43,Data!S43))/STDEVP(Data!D43,Data!G43,Data!J43,Data!M43,Data!P43,Data!S43)*10+50))</f>
        <v/>
      </c>
      <c r="E42" s="13">
        <f>IF(COUNT(Data!D43,Data!G43,Data!J43,Data!M43,Data!P43,Data!S43)&lt;6,"",IF(STDEVP(Data!D43,Data!G43,Data!J43,Data!M43,Data!P43,Data!S43)=0,"",IF(Data!$C43="Lower is better",-1,1)*(Data!J43-AVERAGE(Data!D43,Data!G43,Data!J43,Data!M43,Data!P43,Data!S43))/STDEVP(Data!D43,Data!G43,Data!J43,Data!M43,Data!P43,Data!S43)*10+50))</f>
        <v/>
      </c>
      <c r="F42" s="13">
        <f>IF(COUNT(Data!D43,Data!G43,Data!J43,Data!M43,Data!P43,Data!S43)&lt;6,"",IF(STDEVP(Data!D43,Data!G43,Data!J43,Data!M43,Data!P43,Data!S43)=0,"",IF(Data!$C43="Lower is better",-1,1)*(Data!M43-AVERAGE(Data!D43,Data!G43,Data!J43,Data!M43,Data!P43,Data!S43))/STDEVP(Data!D43,Data!G43,Data!J43,Data!M43,Data!P43,Data!S43)*10+50))</f>
        <v/>
      </c>
      <c r="G42" s="13">
        <f>IF(COUNT(Data!D43,Data!G43,Data!J43,Data!M43,Data!P43,Data!S43)&lt;6,"",IF(STDEVP(Data!D43,Data!G43,Data!J43,Data!M43,Data!P43,Data!S43)=0,"",IF(Data!$C43="Lower is better",-1,1)*(Data!P43-AVERAGE(Data!D43,Data!G43,Data!J43,Data!M43,Data!P43,Data!S43))/STDEVP(Data!D43,Data!G43,Data!J43,Data!M43,Data!P43,Data!S43)*10+50))</f>
        <v/>
      </c>
      <c r="H42" s="13">
        <f>IF(COUNT(Data!D43,Data!G43,Data!J43,Data!M43,Data!P43,Data!S43)&lt;6,"",IF(STDEVP(Data!D43,Data!G43,Data!J43,Data!M43,Data!P43,Data!S43)=0,"",IF(Data!$C43="Lower is better",-1,1)*(Data!S43-AVERAGE(Data!D43,Data!G43,Data!J43,Data!M43,Data!P43,Data!S43))/STDEVP(Data!D43,Data!G43,Data!J43,Data!M43,Data!P43,Data!S43)*10+50))</f>
        <v/>
      </c>
    </row>
    <row r="43">
      <c r="A43" s="8">
        <f>Indicators!A43</f>
        <v/>
      </c>
      <c r="B43" s="12">
        <f>Indicators!C43</f>
        <v/>
      </c>
      <c r="C43" s="13">
        <f>IF(COUNT(Data!D44,Data!G44,Data!J44,Data!M44,Data!P44,Data!S44)&lt;6,"",IF(STDEVP(Data!D44,Data!G44,Data!J44,Data!M44,Data!P44,Data!S44)=0,"",IF(Data!$C44="Lower is better",-1,1)*(Data!D44-AVERAGE(Data!D44,Data!G44,Data!J44,Data!M44,Data!P44,Data!S44))/STDEVP(Data!D44,Data!G44,Data!J44,Data!M44,Data!P44,Data!S44)*10+50))</f>
        <v/>
      </c>
      <c r="D43" s="13">
        <f>IF(COUNT(Data!D44,Data!G44,Data!J44,Data!M44,Data!P44,Data!S44)&lt;6,"",IF(STDEVP(Data!D44,Data!G44,Data!J44,Data!M44,Data!P44,Data!S44)=0,"",IF(Data!$C44="Lower is better",-1,1)*(Data!G44-AVERAGE(Data!D44,Data!G44,Data!J44,Data!M44,Data!P44,Data!S44))/STDEVP(Data!D44,Data!G44,Data!J44,Data!M44,Data!P44,Data!S44)*10+50))</f>
        <v/>
      </c>
      <c r="E43" s="13">
        <f>IF(COUNT(Data!D44,Data!G44,Data!J44,Data!M44,Data!P44,Data!S44)&lt;6,"",IF(STDEVP(Data!D44,Data!G44,Data!J44,Data!M44,Data!P44,Data!S44)=0,"",IF(Data!$C44="Lower is better",-1,1)*(Data!J44-AVERAGE(Data!D44,Data!G44,Data!J44,Data!M44,Data!P44,Data!S44))/STDEVP(Data!D44,Data!G44,Data!J44,Data!M44,Data!P44,Data!S44)*10+50))</f>
        <v/>
      </c>
      <c r="F43" s="13">
        <f>IF(COUNT(Data!D44,Data!G44,Data!J44,Data!M44,Data!P44,Data!S44)&lt;6,"",IF(STDEVP(Data!D44,Data!G44,Data!J44,Data!M44,Data!P44,Data!S44)=0,"",IF(Data!$C44="Lower is better",-1,1)*(Data!M44-AVERAGE(Data!D44,Data!G44,Data!J44,Data!M44,Data!P44,Data!S44))/STDEVP(Data!D44,Data!G44,Data!J44,Data!M44,Data!P44,Data!S44)*10+50))</f>
        <v/>
      </c>
      <c r="G43" s="13">
        <f>IF(COUNT(Data!D44,Data!G44,Data!J44,Data!M44,Data!P44,Data!S44)&lt;6,"",IF(STDEVP(Data!D44,Data!G44,Data!J44,Data!M44,Data!P44,Data!S44)=0,"",IF(Data!$C44="Lower is better",-1,1)*(Data!P44-AVERAGE(Data!D44,Data!G44,Data!J44,Data!M44,Data!P44,Data!S44))/STDEVP(Data!D44,Data!G44,Data!J44,Data!M44,Data!P44,Data!S44)*10+50))</f>
        <v/>
      </c>
      <c r="H43" s="13">
        <f>IF(COUNT(Data!D44,Data!G44,Data!J44,Data!M44,Data!P44,Data!S44)&lt;6,"",IF(STDEVP(Data!D44,Data!G44,Data!J44,Data!M44,Data!P44,Data!S44)=0,"",IF(Data!$C44="Lower is better",-1,1)*(Data!S44-AVERAGE(Data!D44,Data!G44,Data!J44,Data!M44,Data!P44,Data!S44))/STDEVP(Data!D44,Data!G44,Data!J44,Data!M44,Data!P44,Data!S44)*10+50))</f>
        <v/>
      </c>
    </row>
    <row r="44">
      <c r="A44" s="8">
        <f>Indicators!A44</f>
        <v/>
      </c>
      <c r="B44" s="12">
        <f>Indicators!C44</f>
        <v/>
      </c>
      <c r="C44" s="13">
        <f>IF(COUNT(Data!D45,Data!G45,Data!J45,Data!M45,Data!P45,Data!S45)&lt;6,"",IF(STDEVP(Data!D45,Data!G45,Data!J45,Data!M45,Data!P45,Data!S45)=0,"",IF(Data!$C45="Lower is better",-1,1)*(Data!D45-AVERAGE(Data!D45,Data!G45,Data!J45,Data!M45,Data!P45,Data!S45))/STDEVP(Data!D45,Data!G45,Data!J45,Data!M45,Data!P45,Data!S45)*10+50))</f>
        <v/>
      </c>
      <c r="D44" s="13">
        <f>IF(COUNT(Data!D45,Data!G45,Data!J45,Data!M45,Data!P45,Data!S45)&lt;6,"",IF(STDEVP(Data!D45,Data!G45,Data!J45,Data!M45,Data!P45,Data!S45)=0,"",IF(Data!$C45="Lower is better",-1,1)*(Data!G45-AVERAGE(Data!D45,Data!G45,Data!J45,Data!M45,Data!P45,Data!S45))/STDEVP(Data!D45,Data!G45,Data!J45,Data!M45,Data!P45,Data!S45)*10+50))</f>
        <v/>
      </c>
      <c r="E44" s="13">
        <f>IF(COUNT(Data!D45,Data!G45,Data!J45,Data!M45,Data!P45,Data!S45)&lt;6,"",IF(STDEVP(Data!D45,Data!G45,Data!J45,Data!M45,Data!P45,Data!S45)=0,"",IF(Data!$C45="Lower is better",-1,1)*(Data!J45-AVERAGE(Data!D45,Data!G45,Data!J45,Data!M45,Data!P45,Data!S45))/STDEVP(Data!D45,Data!G45,Data!J45,Data!M45,Data!P45,Data!S45)*10+50))</f>
        <v/>
      </c>
      <c r="F44" s="13">
        <f>IF(COUNT(Data!D45,Data!G45,Data!J45,Data!M45,Data!P45,Data!S45)&lt;6,"",IF(STDEVP(Data!D45,Data!G45,Data!J45,Data!M45,Data!P45,Data!S45)=0,"",IF(Data!$C45="Lower is better",-1,1)*(Data!M45-AVERAGE(Data!D45,Data!G45,Data!J45,Data!M45,Data!P45,Data!S45))/STDEVP(Data!D45,Data!G45,Data!J45,Data!M45,Data!P45,Data!S45)*10+50))</f>
        <v/>
      </c>
      <c r="G44" s="13">
        <f>IF(COUNT(Data!D45,Data!G45,Data!J45,Data!M45,Data!P45,Data!S45)&lt;6,"",IF(STDEVP(Data!D45,Data!G45,Data!J45,Data!M45,Data!P45,Data!S45)=0,"",IF(Data!$C45="Lower is better",-1,1)*(Data!P45-AVERAGE(Data!D45,Data!G45,Data!J45,Data!M45,Data!P45,Data!S45))/STDEVP(Data!D45,Data!G45,Data!J45,Data!M45,Data!P45,Data!S45)*10+50))</f>
        <v/>
      </c>
      <c r="H44" s="13">
        <f>IF(COUNT(Data!D45,Data!G45,Data!J45,Data!M45,Data!P45,Data!S45)&lt;6,"",IF(STDEVP(Data!D45,Data!G45,Data!J45,Data!M45,Data!P45,Data!S45)=0,"",IF(Data!$C45="Lower is better",-1,1)*(Data!S45-AVERAGE(Data!D45,Data!G45,Data!J45,Data!M45,Data!P45,Data!S45))/STDEVP(Data!D45,Data!G45,Data!J45,Data!M45,Data!P45,Data!S45)*10+50))</f>
        <v/>
      </c>
    </row>
    <row r="45">
      <c r="A45" s="8">
        <f>Indicators!A45</f>
        <v/>
      </c>
      <c r="B45" s="12">
        <f>Indicators!C45</f>
        <v/>
      </c>
      <c r="C45" s="13">
        <f>IF(COUNT(Data!D46,Data!G46,Data!J46,Data!M46,Data!P46,Data!S46)&lt;6,"",IF(STDEVP(Data!D46,Data!G46,Data!J46,Data!M46,Data!P46,Data!S46)=0,"",IF(Data!$C46="Lower is better",-1,1)*(Data!D46-AVERAGE(Data!D46,Data!G46,Data!J46,Data!M46,Data!P46,Data!S46))/STDEVP(Data!D46,Data!G46,Data!J46,Data!M46,Data!P46,Data!S46)*10+50))</f>
        <v/>
      </c>
      <c r="D45" s="13">
        <f>IF(COUNT(Data!D46,Data!G46,Data!J46,Data!M46,Data!P46,Data!S46)&lt;6,"",IF(STDEVP(Data!D46,Data!G46,Data!J46,Data!M46,Data!P46,Data!S46)=0,"",IF(Data!$C46="Lower is better",-1,1)*(Data!G46-AVERAGE(Data!D46,Data!G46,Data!J46,Data!M46,Data!P46,Data!S46))/STDEVP(Data!D46,Data!G46,Data!J46,Data!M46,Data!P46,Data!S46)*10+50))</f>
        <v/>
      </c>
      <c r="E45" s="13">
        <f>IF(COUNT(Data!D46,Data!G46,Data!J46,Data!M46,Data!P46,Data!S46)&lt;6,"",IF(STDEVP(Data!D46,Data!G46,Data!J46,Data!M46,Data!P46,Data!S46)=0,"",IF(Data!$C46="Lower is better",-1,1)*(Data!J46-AVERAGE(Data!D46,Data!G46,Data!J46,Data!M46,Data!P46,Data!S46))/STDEVP(Data!D46,Data!G46,Data!J46,Data!M46,Data!P46,Data!S46)*10+50))</f>
        <v/>
      </c>
      <c r="F45" s="13">
        <f>IF(COUNT(Data!D46,Data!G46,Data!J46,Data!M46,Data!P46,Data!S46)&lt;6,"",IF(STDEVP(Data!D46,Data!G46,Data!J46,Data!M46,Data!P46,Data!S46)=0,"",IF(Data!$C46="Lower is better",-1,1)*(Data!M46-AVERAGE(Data!D46,Data!G46,Data!J46,Data!M46,Data!P46,Data!S46))/STDEVP(Data!D46,Data!G46,Data!J46,Data!M46,Data!P46,Data!S46)*10+50))</f>
        <v/>
      </c>
      <c r="G45" s="13">
        <f>IF(COUNT(Data!D46,Data!G46,Data!J46,Data!M46,Data!P46,Data!S46)&lt;6,"",IF(STDEVP(Data!D46,Data!G46,Data!J46,Data!M46,Data!P46,Data!S46)=0,"",IF(Data!$C46="Lower is better",-1,1)*(Data!P46-AVERAGE(Data!D46,Data!G46,Data!J46,Data!M46,Data!P46,Data!S46))/STDEVP(Data!D46,Data!G46,Data!J46,Data!M46,Data!P46,Data!S46)*10+50))</f>
        <v/>
      </c>
      <c r="H45" s="13">
        <f>IF(COUNT(Data!D46,Data!G46,Data!J46,Data!M46,Data!P46,Data!S46)&lt;6,"",IF(STDEVP(Data!D46,Data!G46,Data!J46,Data!M46,Data!P46,Data!S46)=0,"",IF(Data!$C46="Lower is better",-1,1)*(Data!S46-AVERAGE(Data!D46,Data!G46,Data!J46,Data!M46,Data!P46,Data!S46))/STDEVP(Data!D46,Data!G46,Data!J46,Data!M46,Data!P46,Data!S46)*10+50))</f>
        <v/>
      </c>
    </row>
    <row r="46">
      <c r="A46" s="8">
        <f>Indicators!A46</f>
        <v/>
      </c>
      <c r="B46" s="12">
        <f>Indicators!C46</f>
        <v/>
      </c>
      <c r="C46" s="13">
        <f>IF(COUNT(Data!D47,Data!G47,Data!J47,Data!M47,Data!P47,Data!S47)&lt;6,"",IF(STDEVP(Data!D47,Data!G47,Data!J47,Data!M47,Data!P47,Data!S47)=0,"",IF(Data!$C47="Lower is better",-1,1)*(Data!D47-AVERAGE(Data!D47,Data!G47,Data!J47,Data!M47,Data!P47,Data!S47))/STDEVP(Data!D47,Data!G47,Data!J47,Data!M47,Data!P47,Data!S47)*10+50))</f>
        <v/>
      </c>
      <c r="D46" s="13">
        <f>IF(COUNT(Data!D47,Data!G47,Data!J47,Data!M47,Data!P47,Data!S47)&lt;6,"",IF(STDEVP(Data!D47,Data!G47,Data!J47,Data!M47,Data!P47,Data!S47)=0,"",IF(Data!$C47="Lower is better",-1,1)*(Data!G47-AVERAGE(Data!D47,Data!G47,Data!J47,Data!M47,Data!P47,Data!S47))/STDEVP(Data!D47,Data!G47,Data!J47,Data!M47,Data!P47,Data!S47)*10+50))</f>
        <v/>
      </c>
      <c r="E46" s="13">
        <f>IF(COUNT(Data!D47,Data!G47,Data!J47,Data!M47,Data!P47,Data!S47)&lt;6,"",IF(STDEVP(Data!D47,Data!G47,Data!J47,Data!M47,Data!P47,Data!S47)=0,"",IF(Data!$C47="Lower is better",-1,1)*(Data!J47-AVERAGE(Data!D47,Data!G47,Data!J47,Data!M47,Data!P47,Data!S47))/STDEVP(Data!D47,Data!G47,Data!J47,Data!M47,Data!P47,Data!S47)*10+50))</f>
        <v/>
      </c>
      <c r="F46" s="13">
        <f>IF(COUNT(Data!D47,Data!G47,Data!J47,Data!M47,Data!P47,Data!S47)&lt;6,"",IF(STDEVP(Data!D47,Data!G47,Data!J47,Data!M47,Data!P47,Data!S47)=0,"",IF(Data!$C47="Lower is better",-1,1)*(Data!M47-AVERAGE(Data!D47,Data!G47,Data!J47,Data!M47,Data!P47,Data!S47))/STDEVP(Data!D47,Data!G47,Data!J47,Data!M47,Data!P47,Data!S47)*10+50))</f>
        <v/>
      </c>
      <c r="G46" s="13">
        <f>IF(COUNT(Data!D47,Data!G47,Data!J47,Data!M47,Data!P47,Data!S47)&lt;6,"",IF(STDEVP(Data!D47,Data!G47,Data!J47,Data!M47,Data!P47,Data!S47)=0,"",IF(Data!$C47="Lower is better",-1,1)*(Data!P47-AVERAGE(Data!D47,Data!G47,Data!J47,Data!M47,Data!P47,Data!S47))/STDEVP(Data!D47,Data!G47,Data!J47,Data!M47,Data!P47,Data!S47)*10+50))</f>
        <v/>
      </c>
      <c r="H46" s="13">
        <f>IF(COUNT(Data!D47,Data!G47,Data!J47,Data!M47,Data!P47,Data!S47)&lt;6,"",IF(STDEVP(Data!D47,Data!G47,Data!J47,Data!M47,Data!P47,Data!S47)=0,"",IF(Data!$C47="Lower is better",-1,1)*(Data!S47-AVERAGE(Data!D47,Data!G47,Data!J47,Data!M47,Data!P47,Data!S47))/STDEVP(Data!D47,Data!G47,Data!J47,Data!M47,Data!P47,Data!S47)*10+50))</f>
        <v/>
      </c>
    </row>
    <row r="47">
      <c r="A47" s="8">
        <f>Indicators!A47</f>
        <v/>
      </c>
      <c r="B47" s="12">
        <f>Indicators!C47</f>
        <v/>
      </c>
      <c r="C47" s="13">
        <f>IF(COUNT(Data!D48,Data!G48,Data!J48,Data!M48,Data!P48,Data!S48)&lt;6,"",IF(STDEVP(Data!D48,Data!G48,Data!J48,Data!M48,Data!P48,Data!S48)=0,"",IF(Data!$C48="Lower is better",-1,1)*(Data!D48-AVERAGE(Data!D48,Data!G48,Data!J48,Data!M48,Data!P48,Data!S48))/STDEVP(Data!D48,Data!G48,Data!J48,Data!M48,Data!P48,Data!S48)*10+50))</f>
        <v/>
      </c>
      <c r="D47" s="13">
        <f>IF(COUNT(Data!D48,Data!G48,Data!J48,Data!M48,Data!P48,Data!S48)&lt;6,"",IF(STDEVP(Data!D48,Data!G48,Data!J48,Data!M48,Data!P48,Data!S48)=0,"",IF(Data!$C48="Lower is better",-1,1)*(Data!G48-AVERAGE(Data!D48,Data!G48,Data!J48,Data!M48,Data!P48,Data!S48))/STDEVP(Data!D48,Data!G48,Data!J48,Data!M48,Data!P48,Data!S48)*10+50))</f>
        <v/>
      </c>
      <c r="E47" s="13">
        <f>IF(COUNT(Data!D48,Data!G48,Data!J48,Data!M48,Data!P48,Data!S48)&lt;6,"",IF(STDEVP(Data!D48,Data!G48,Data!J48,Data!M48,Data!P48,Data!S48)=0,"",IF(Data!$C48="Lower is better",-1,1)*(Data!J48-AVERAGE(Data!D48,Data!G48,Data!J48,Data!M48,Data!P48,Data!S48))/STDEVP(Data!D48,Data!G48,Data!J48,Data!M48,Data!P48,Data!S48)*10+50))</f>
        <v/>
      </c>
      <c r="F47" s="13">
        <f>IF(COUNT(Data!D48,Data!G48,Data!J48,Data!M48,Data!P48,Data!S48)&lt;6,"",IF(STDEVP(Data!D48,Data!G48,Data!J48,Data!M48,Data!P48,Data!S48)=0,"",IF(Data!$C48="Lower is better",-1,1)*(Data!M48-AVERAGE(Data!D48,Data!G48,Data!J48,Data!M48,Data!P48,Data!S48))/STDEVP(Data!D48,Data!G48,Data!J48,Data!M48,Data!P48,Data!S48)*10+50))</f>
        <v/>
      </c>
      <c r="G47" s="13">
        <f>IF(COUNT(Data!D48,Data!G48,Data!J48,Data!M48,Data!P48,Data!S48)&lt;6,"",IF(STDEVP(Data!D48,Data!G48,Data!J48,Data!M48,Data!P48,Data!S48)=0,"",IF(Data!$C48="Lower is better",-1,1)*(Data!P48-AVERAGE(Data!D48,Data!G48,Data!J48,Data!M48,Data!P48,Data!S48))/STDEVP(Data!D48,Data!G48,Data!J48,Data!M48,Data!P48,Data!S48)*10+50))</f>
        <v/>
      </c>
      <c r="H47" s="13">
        <f>IF(COUNT(Data!D48,Data!G48,Data!J48,Data!M48,Data!P48,Data!S48)&lt;6,"",IF(STDEVP(Data!D48,Data!G48,Data!J48,Data!M48,Data!P48,Data!S48)=0,"",IF(Data!$C48="Lower is better",-1,1)*(Data!S48-AVERAGE(Data!D48,Data!G48,Data!J48,Data!M48,Data!P48,Data!S48))/STDEVP(Data!D48,Data!G48,Data!J48,Data!M48,Data!P48,Data!S48)*10+50))</f>
        <v/>
      </c>
    </row>
    <row r="48">
      <c r="A48" s="8">
        <f>Indicators!A48</f>
        <v/>
      </c>
      <c r="B48" s="12">
        <f>Indicators!C48</f>
        <v/>
      </c>
      <c r="C48" s="13">
        <f>IF(COUNT(Data!D49,Data!G49,Data!J49,Data!M49,Data!P49,Data!S49)&lt;6,"",IF(STDEVP(Data!D49,Data!G49,Data!J49,Data!M49,Data!P49,Data!S49)=0,"",IF(Data!$C49="Lower is better",-1,1)*(Data!D49-AVERAGE(Data!D49,Data!G49,Data!J49,Data!M49,Data!P49,Data!S49))/STDEVP(Data!D49,Data!G49,Data!J49,Data!M49,Data!P49,Data!S49)*10+50))</f>
        <v/>
      </c>
      <c r="D48" s="13">
        <f>IF(COUNT(Data!D49,Data!G49,Data!J49,Data!M49,Data!P49,Data!S49)&lt;6,"",IF(STDEVP(Data!D49,Data!G49,Data!J49,Data!M49,Data!P49,Data!S49)=0,"",IF(Data!$C49="Lower is better",-1,1)*(Data!G49-AVERAGE(Data!D49,Data!G49,Data!J49,Data!M49,Data!P49,Data!S49))/STDEVP(Data!D49,Data!G49,Data!J49,Data!M49,Data!P49,Data!S49)*10+50))</f>
        <v/>
      </c>
      <c r="E48" s="13">
        <f>IF(COUNT(Data!D49,Data!G49,Data!J49,Data!M49,Data!P49,Data!S49)&lt;6,"",IF(STDEVP(Data!D49,Data!G49,Data!J49,Data!M49,Data!P49,Data!S49)=0,"",IF(Data!$C49="Lower is better",-1,1)*(Data!J49-AVERAGE(Data!D49,Data!G49,Data!J49,Data!M49,Data!P49,Data!S49))/STDEVP(Data!D49,Data!G49,Data!J49,Data!M49,Data!P49,Data!S49)*10+50))</f>
        <v/>
      </c>
      <c r="F48" s="13">
        <f>IF(COUNT(Data!D49,Data!G49,Data!J49,Data!M49,Data!P49,Data!S49)&lt;6,"",IF(STDEVP(Data!D49,Data!G49,Data!J49,Data!M49,Data!P49,Data!S49)=0,"",IF(Data!$C49="Lower is better",-1,1)*(Data!M49-AVERAGE(Data!D49,Data!G49,Data!J49,Data!M49,Data!P49,Data!S49))/STDEVP(Data!D49,Data!G49,Data!J49,Data!M49,Data!P49,Data!S49)*10+50))</f>
        <v/>
      </c>
      <c r="G48" s="13">
        <f>IF(COUNT(Data!D49,Data!G49,Data!J49,Data!M49,Data!P49,Data!S49)&lt;6,"",IF(STDEVP(Data!D49,Data!G49,Data!J49,Data!M49,Data!P49,Data!S49)=0,"",IF(Data!$C49="Lower is better",-1,1)*(Data!P49-AVERAGE(Data!D49,Data!G49,Data!J49,Data!M49,Data!P49,Data!S49))/STDEVP(Data!D49,Data!G49,Data!J49,Data!M49,Data!P49,Data!S49)*10+50))</f>
        <v/>
      </c>
      <c r="H48" s="13">
        <f>IF(COUNT(Data!D49,Data!G49,Data!J49,Data!M49,Data!P49,Data!S49)&lt;6,"",IF(STDEVP(Data!D49,Data!G49,Data!J49,Data!M49,Data!P49,Data!S49)=0,"",IF(Data!$C49="Lower is better",-1,1)*(Data!S49-AVERAGE(Data!D49,Data!G49,Data!J49,Data!M49,Data!P49,Data!S49))/STDEVP(Data!D49,Data!G49,Data!J49,Data!M49,Data!P49,Data!S49)*10+50))</f>
        <v/>
      </c>
    </row>
  </sheetData>
  <sheetProtection selectLockedCells="0" selectUnlockedCells="0" sheet="1" objects="0" insertRows="1" insertHyperlinks="1" autoFilter="1" scenarios="0" formatColumns="0" deleteColumns="1" insertColumns="1" pivotTables="1" deleteRows="1" formatCells="1" formatRows="0" sort="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7"/>
  <sheetViews>
    <sheetView showGridLines="0"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s>
  <sheetData>
    <row r="1">
      <c r="A1" s="1" t="inlineStr">
        <is>
          <t>Scores and ranks</t>
        </is>
      </c>
    </row>
    <row r="2">
      <c r="A2" s="2" t="inlineStr">
        <is>
          <t>Complete only when all six countries have a value for every indicator. Until then: "incomplete".</t>
        </is>
      </c>
    </row>
    <row r="3">
      <c r="A3" s="19" t="inlineStr">
        <is>
          <t>A. Weighted score (0 to 100, min-max)</t>
        </is>
      </c>
    </row>
    <row r="4">
      <c r="A4" s="5" t="inlineStr">
        <is>
          <t>Country</t>
        </is>
      </c>
      <c r="B4" s="5" t="inlineStr">
        <is>
          <t>Baseline</t>
        </is>
      </c>
      <c r="C4" s="5" t="inlineStr">
        <is>
          <t>Equal</t>
        </is>
      </c>
      <c r="D4" s="5" t="inlineStr">
        <is>
          <t>Economy-led</t>
        </is>
      </c>
      <c r="E4" s="5" t="inlineStr">
        <is>
          <t>Access-led</t>
        </is>
      </c>
      <c r="F4" s="5" t="inlineStr">
        <is>
          <t>Society-led</t>
        </is>
      </c>
    </row>
    <row r="5">
      <c r="A5" s="6" t="inlineStr">
        <is>
          <t>Argentina</t>
        </is>
      </c>
      <c r="B5" s="13">
        <f>IF(COUNT(Normalised!C4:C48)&lt;45,"incomplete",SUMPRODUCT(Weights!C17:C61,Normalised!C4:C48)/100)</f>
        <v/>
      </c>
      <c r="C5" s="13">
        <f>IF(COUNT(Normalised!C4:C48)&lt;45,"incomplete",SUMPRODUCT(Weights!D17:D61,Normalised!C4:C48)/100)</f>
        <v/>
      </c>
      <c r="D5" s="13">
        <f>IF(COUNT(Normalised!C4:C48)&lt;45,"incomplete",SUMPRODUCT(Weights!E17:E61,Normalised!C4:C48)/100)</f>
        <v/>
      </c>
      <c r="E5" s="13">
        <f>IF(COUNT(Normalised!C4:C48)&lt;45,"incomplete",SUMPRODUCT(Weights!F17:F61,Normalised!C4:C48)/100)</f>
        <v/>
      </c>
      <c r="F5" s="13">
        <f>IF(COUNT(Normalised!C4:C48)&lt;45,"incomplete",SUMPRODUCT(Weights!G17:G61,Normalised!C4:C48)/100)</f>
        <v/>
      </c>
    </row>
    <row r="6">
      <c r="A6" s="6" t="inlineStr">
        <is>
          <t>Brazil</t>
        </is>
      </c>
      <c r="B6" s="13">
        <f>IF(COUNT(Normalised!D4:D48)&lt;45,"incomplete",SUMPRODUCT(Weights!C17:C61,Normalised!D4:D48)/100)</f>
        <v/>
      </c>
      <c r="C6" s="13">
        <f>IF(COUNT(Normalised!D4:D48)&lt;45,"incomplete",SUMPRODUCT(Weights!D17:D61,Normalised!D4:D48)/100)</f>
        <v/>
      </c>
      <c r="D6" s="13">
        <f>IF(COUNT(Normalised!D4:D48)&lt;45,"incomplete",SUMPRODUCT(Weights!E17:E61,Normalised!D4:D48)/100)</f>
        <v/>
      </c>
      <c r="E6" s="13">
        <f>IF(COUNT(Normalised!D4:D48)&lt;45,"incomplete",SUMPRODUCT(Weights!F17:F61,Normalised!D4:D48)/100)</f>
        <v/>
      </c>
      <c r="F6" s="13">
        <f>IF(COUNT(Normalised!D4:D48)&lt;45,"incomplete",SUMPRODUCT(Weights!G17:G61,Normalised!D4:D48)/100)</f>
        <v/>
      </c>
    </row>
    <row r="7">
      <c r="A7" s="6" t="inlineStr">
        <is>
          <t>Chile</t>
        </is>
      </c>
      <c r="B7" s="13">
        <f>IF(COUNT(Normalised!E4:E48)&lt;45,"incomplete",SUMPRODUCT(Weights!C17:C61,Normalised!E4:E48)/100)</f>
        <v/>
      </c>
      <c r="C7" s="13">
        <f>IF(COUNT(Normalised!E4:E48)&lt;45,"incomplete",SUMPRODUCT(Weights!D17:D61,Normalised!E4:E48)/100)</f>
        <v/>
      </c>
      <c r="D7" s="13">
        <f>IF(COUNT(Normalised!E4:E48)&lt;45,"incomplete",SUMPRODUCT(Weights!E17:E61,Normalised!E4:E48)/100)</f>
        <v/>
      </c>
      <c r="E7" s="13">
        <f>IF(COUNT(Normalised!E4:E48)&lt;45,"incomplete",SUMPRODUCT(Weights!F17:F61,Normalised!E4:E48)/100)</f>
        <v/>
      </c>
      <c r="F7" s="13">
        <f>IF(COUNT(Normalised!E4:E48)&lt;45,"incomplete",SUMPRODUCT(Weights!G17:G61,Normalised!E4:E48)/100)</f>
        <v/>
      </c>
    </row>
    <row r="8">
      <c r="A8" s="6" t="inlineStr">
        <is>
          <t>Colombia</t>
        </is>
      </c>
      <c r="B8" s="13">
        <f>IF(COUNT(Normalised!F4:F48)&lt;45,"incomplete",SUMPRODUCT(Weights!C17:C61,Normalised!F4:F48)/100)</f>
        <v/>
      </c>
      <c r="C8" s="13">
        <f>IF(COUNT(Normalised!F4:F48)&lt;45,"incomplete",SUMPRODUCT(Weights!D17:D61,Normalised!F4:F48)/100)</f>
        <v/>
      </c>
      <c r="D8" s="13">
        <f>IF(COUNT(Normalised!F4:F48)&lt;45,"incomplete",SUMPRODUCT(Weights!E17:E61,Normalised!F4:F48)/100)</f>
        <v/>
      </c>
      <c r="E8" s="13">
        <f>IF(COUNT(Normalised!F4:F48)&lt;45,"incomplete",SUMPRODUCT(Weights!F17:F61,Normalised!F4:F48)/100)</f>
        <v/>
      </c>
      <c r="F8" s="13">
        <f>IF(COUNT(Normalised!F4:F48)&lt;45,"incomplete",SUMPRODUCT(Weights!G17:G61,Normalised!F4:F48)/100)</f>
        <v/>
      </c>
    </row>
    <row r="9">
      <c r="A9" s="6" t="inlineStr">
        <is>
          <t>Mexico</t>
        </is>
      </c>
      <c r="B9" s="13">
        <f>IF(COUNT(Normalised!G4:G48)&lt;45,"incomplete",SUMPRODUCT(Weights!C17:C61,Normalised!G4:G48)/100)</f>
        <v/>
      </c>
      <c r="C9" s="13">
        <f>IF(COUNT(Normalised!G4:G48)&lt;45,"incomplete",SUMPRODUCT(Weights!D17:D61,Normalised!G4:G48)/100)</f>
        <v/>
      </c>
      <c r="D9" s="13">
        <f>IF(COUNT(Normalised!G4:G48)&lt;45,"incomplete",SUMPRODUCT(Weights!E17:E61,Normalised!G4:G48)/100)</f>
        <v/>
      </c>
      <c r="E9" s="13">
        <f>IF(COUNT(Normalised!G4:G48)&lt;45,"incomplete",SUMPRODUCT(Weights!F17:F61,Normalised!G4:G48)/100)</f>
        <v/>
      </c>
      <c r="F9" s="13">
        <f>IF(COUNT(Normalised!G4:G48)&lt;45,"incomplete",SUMPRODUCT(Weights!G17:G61,Normalised!G4:G48)/100)</f>
        <v/>
      </c>
    </row>
    <row r="10">
      <c r="A10" s="6" t="inlineStr">
        <is>
          <t>Uruguay</t>
        </is>
      </c>
      <c r="B10" s="13">
        <f>IF(COUNT(Normalised!H4:H48)&lt;45,"incomplete",SUMPRODUCT(Weights!C17:C61,Normalised!H4:H48)/100)</f>
        <v/>
      </c>
      <c r="C10" s="13">
        <f>IF(COUNT(Normalised!H4:H48)&lt;45,"incomplete",SUMPRODUCT(Weights!D17:D61,Normalised!H4:H48)/100)</f>
        <v/>
      </c>
      <c r="D10" s="13">
        <f>IF(COUNT(Normalised!H4:H48)&lt;45,"incomplete",SUMPRODUCT(Weights!E17:E61,Normalised!H4:H48)/100)</f>
        <v/>
      </c>
      <c r="E10" s="13">
        <f>IF(COUNT(Normalised!H4:H48)&lt;45,"incomplete",SUMPRODUCT(Weights!F17:F61,Normalised!H4:H48)/100)</f>
        <v/>
      </c>
      <c r="F10" s="13">
        <f>IF(COUNT(Normalised!H4:H48)&lt;45,"incomplete",SUMPRODUCT(Weights!G17:G61,Normalised!H4:H48)/100)</f>
        <v/>
      </c>
    </row>
    <row r="12">
      <c r="A12" s="19" t="inlineStr">
        <is>
          <t>B. Rank (1 = best)</t>
        </is>
      </c>
    </row>
    <row r="13">
      <c r="A13" s="5" t="inlineStr">
        <is>
          <t>Country</t>
        </is>
      </c>
      <c r="B13" s="5" t="inlineStr">
        <is>
          <t>Baseline</t>
        </is>
      </c>
      <c r="C13" s="5" t="inlineStr">
        <is>
          <t>Equal</t>
        </is>
      </c>
      <c r="D13" s="5" t="inlineStr">
        <is>
          <t>Economy-led</t>
        </is>
      </c>
      <c r="E13" s="5" t="inlineStr">
        <is>
          <t>Access-led</t>
        </is>
      </c>
      <c r="F13" s="5" t="inlineStr">
        <is>
          <t>Society-led</t>
        </is>
      </c>
      <c r="G13" s="5" t="inlineStr">
        <is>
          <t>Rank range</t>
        </is>
      </c>
    </row>
    <row r="14">
      <c r="A14" s="6" t="inlineStr">
        <is>
          <t>Argentina</t>
        </is>
      </c>
      <c r="B14" s="8">
        <f>IF(ISNUMBER(B5),RANK(B5,B$5:B$10),"")</f>
        <v/>
      </c>
      <c r="C14" s="8">
        <f>IF(ISNUMBER(C5),RANK(C5,C$5:C$10),"")</f>
        <v/>
      </c>
      <c r="D14" s="8">
        <f>IF(ISNUMBER(D5),RANK(D5,D$5:D$10),"")</f>
        <v/>
      </c>
      <c r="E14" s="8">
        <f>IF(ISNUMBER(E5),RANK(E5,E$5:E$10),"")</f>
        <v/>
      </c>
      <c r="F14" s="8">
        <f>IF(ISNUMBER(F5),RANK(F5,F$5:F$10),"")</f>
        <v/>
      </c>
      <c r="G14" s="8">
        <f>IF(COUNT(B14:F14)=5,MIN(B14:F14)&amp;" to "&amp;MAX(B14:F14),"")</f>
        <v/>
      </c>
    </row>
    <row r="15">
      <c r="A15" s="6" t="inlineStr">
        <is>
          <t>Brazil</t>
        </is>
      </c>
      <c r="B15" s="8">
        <f>IF(ISNUMBER(B6),RANK(B6,B$5:B$10),"")</f>
        <v/>
      </c>
      <c r="C15" s="8">
        <f>IF(ISNUMBER(C6),RANK(C6,C$5:C$10),"")</f>
        <v/>
      </c>
      <c r="D15" s="8">
        <f>IF(ISNUMBER(D6),RANK(D6,D$5:D$10),"")</f>
        <v/>
      </c>
      <c r="E15" s="8">
        <f>IF(ISNUMBER(E6),RANK(E6,E$5:E$10),"")</f>
        <v/>
      </c>
      <c r="F15" s="8">
        <f>IF(ISNUMBER(F6),RANK(F6,F$5:F$10),"")</f>
        <v/>
      </c>
      <c r="G15" s="8">
        <f>IF(COUNT(B15:F15)=5,MIN(B15:F15)&amp;" to "&amp;MAX(B15:F15),"")</f>
        <v/>
      </c>
    </row>
    <row r="16">
      <c r="A16" s="6" t="inlineStr">
        <is>
          <t>Chile</t>
        </is>
      </c>
      <c r="B16" s="8">
        <f>IF(ISNUMBER(B7),RANK(B7,B$5:B$10),"")</f>
        <v/>
      </c>
      <c r="C16" s="8">
        <f>IF(ISNUMBER(C7),RANK(C7,C$5:C$10),"")</f>
        <v/>
      </c>
      <c r="D16" s="8">
        <f>IF(ISNUMBER(D7),RANK(D7,D$5:D$10),"")</f>
        <v/>
      </c>
      <c r="E16" s="8">
        <f>IF(ISNUMBER(E7),RANK(E7,E$5:E$10),"")</f>
        <v/>
      </c>
      <c r="F16" s="8">
        <f>IF(ISNUMBER(F7),RANK(F7,F$5:F$10),"")</f>
        <v/>
      </c>
      <c r="G16" s="8">
        <f>IF(COUNT(B16:F16)=5,MIN(B16:F16)&amp;" to "&amp;MAX(B16:F16),"")</f>
        <v/>
      </c>
    </row>
    <row r="17">
      <c r="A17" s="6" t="inlineStr">
        <is>
          <t>Colombia</t>
        </is>
      </c>
      <c r="B17" s="8">
        <f>IF(ISNUMBER(B8),RANK(B8,B$5:B$10),"")</f>
        <v/>
      </c>
      <c r="C17" s="8">
        <f>IF(ISNUMBER(C8),RANK(C8,C$5:C$10),"")</f>
        <v/>
      </c>
      <c r="D17" s="8">
        <f>IF(ISNUMBER(D8),RANK(D8,D$5:D$10),"")</f>
        <v/>
      </c>
      <c r="E17" s="8">
        <f>IF(ISNUMBER(E8),RANK(E8,E$5:E$10),"")</f>
        <v/>
      </c>
      <c r="F17" s="8">
        <f>IF(ISNUMBER(F8),RANK(F8,F$5:F$10),"")</f>
        <v/>
      </c>
      <c r="G17" s="8">
        <f>IF(COUNT(B17:F17)=5,MIN(B17:F17)&amp;" to "&amp;MAX(B17:F17),"")</f>
        <v/>
      </c>
    </row>
    <row r="18">
      <c r="A18" s="6" t="inlineStr">
        <is>
          <t>Mexico</t>
        </is>
      </c>
      <c r="B18" s="8">
        <f>IF(ISNUMBER(B9),RANK(B9,B$5:B$10),"")</f>
        <v/>
      </c>
      <c r="C18" s="8">
        <f>IF(ISNUMBER(C9),RANK(C9,C$5:C$10),"")</f>
        <v/>
      </c>
      <c r="D18" s="8">
        <f>IF(ISNUMBER(D9),RANK(D9,D$5:D$10),"")</f>
        <v/>
      </c>
      <c r="E18" s="8">
        <f>IF(ISNUMBER(E9),RANK(E9,E$5:E$10),"")</f>
        <v/>
      </c>
      <c r="F18" s="8">
        <f>IF(ISNUMBER(F9),RANK(F9,F$5:F$10),"")</f>
        <v/>
      </c>
      <c r="G18" s="8">
        <f>IF(COUNT(B18:F18)=5,MIN(B18:F18)&amp;" to "&amp;MAX(B18:F18),"")</f>
        <v/>
      </c>
    </row>
    <row r="19">
      <c r="A19" s="6" t="inlineStr">
        <is>
          <t>Uruguay</t>
        </is>
      </c>
      <c r="B19" s="8">
        <f>IF(ISNUMBER(B10),RANK(B10,B$5:B$10),"")</f>
        <v/>
      </c>
      <c r="C19" s="8">
        <f>IF(ISNUMBER(C10),RANK(C10,C$5:C$10),"")</f>
        <v/>
      </c>
      <c r="D19" s="8">
        <f>IF(ISNUMBER(D10),RANK(D10,D$5:D$10),"")</f>
        <v/>
      </c>
      <c r="E19" s="8">
        <f>IF(ISNUMBER(E10),RANK(E10,E$5:E$10),"")</f>
        <v/>
      </c>
      <c r="F19" s="8">
        <f>IF(ISNUMBER(F10),RANK(F10,F$5:F$10),"")</f>
        <v/>
      </c>
      <c r="G19" s="8">
        <f>IF(COUNT(B19:F19)=5,MIN(B19:F19)&amp;" to "&amp;MAX(B19:F19),"")</f>
        <v/>
      </c>
    </row>
    <row r="21">
      <c r="A21" s="19" t="inlineStr">
        <is>
          <t>C. Baseline score by PESTEL dimension (average of the indicator scores)</t>
        </is>
      </c>
    </row>
    <row r="22">
      <c r="A22" s="5" t="inlineStr">
        <is>
          <t>Country</t>
        </is>
      </c>
      <c r="B22" s="5" t="inlineStr">
        <is>
          <t>Political</t>
        </is>
      </c>
      <c r="C22" s="5" t="inlineStr">
        <is>
          <t>Economic</t>
        </is>
      </c>
      <c r="D22" s="5" t="inlineStr">
        <is>
          <t>Social</t>
        </is>
      </c>
      <c r="E22" s="5" t="inlineStr">
        <is>
          <t>Technological</t>
        </is>
      </c>
      <c r="F22" s="5" t="inlineStr">
        <is>
          <t>Environmental</t>
        </is>
      </c>
      <c r="G22" s="5" t="inlineStr">
        <is>
          <t>Legal</t>
        </is>
      </c>
    </row>
    <row r="23">
      <c r="A23" s="6" t="inlineStr">
        <is>
          <t>Argentina</t>
        </is>
      </c>
      <c r="B23" s="13">
        <f>IF(COUNTIFS(Indicators!$B$4:$B$48,"Political",Normalised!C$4:C$48,"&gt;=0")=0,"",SUMIFS(Normalised!C$4:C$48,Indicators!$B$4:$B$48,"Political")/COUNTIFS(Indicators!$B$4:$B$48,"Political",Normalised!C$4:C$48,"&gt;=0"))</f>
        <v/>
      </c>
      <c r="C23" s="13">
        <f>IF(COUNTIFS(Indicators!$B$4:$B$48,"Economic",Normalised!C$4:C$48,"&gt;=0")=0,"",SUMIFS(Normalised!C$4:C$48,Indicators!$B$4:$B$48,"Economic")/COUNTIFS(Indicators!$B$4:$B$48,"Economic",Normalised!C$4:C$48,"&gt;=0"))</f>
        <v/>
      </c>
      <c r="D23" s="13">
        <f>IF(COUNTIFS(Indicators!$B$4:$B$48,"Social",Normalised!C$4:C$48,"&gt;=0")=0,"",SUMIFS(Normalised!C$4:C$48,Indicators!$B$4:$B$48,"Social")/COUNTIFS(Indicators!$B$4:$B$48,"Social",Normalised!C$4:C$48,"&gt;=0"))</f>
        <v/>
      </c>
      <c r="E23" s="13">
        <f>IF(COUNTIFS(Indicators!$B$4:$B$48,"Technological",Normalised!C$4:C$48,"&gt;=0")=0,"",SUMIFS(Normalised!C$4:C$48,Indicators!$B$4:$B$48,"Technological")/COUNTIFS(Indicators!$B$4:$B$48,"Technological",Normalised!C$4:C$48,"&gt;=0"))</f>
        <v/>
      </c>
      <c r="F23" s="13">
        <f>IF(COUNTIFS(Indicators!$B$4:$B$48,"Environmental",Normalised!C$4:C$48,"&gt;=0")=0,"",SUMIFS(Normalised!C$4:C$48,Indicators!$B$4:$B$48,"Environmental")/COUNTIFS(Indicators!$B$4:$B$48,"Environmental",Normalised!C$4:C$48,"&gt;=0"))</f>
        <v/>
      </c>
      <c r="G23" s="13">
        <f>IF(COUNTIFS(Indicators!$B$4:$B$48,"Legal",Normalised!C$4:C$48,"&gt;=0")=0,"",SUMIFS(Normalised!C$4:C$48,Indicators!$B$4:$B$48,"Legal")/COUNTIFS(Indicators!$B$4:$B$48,"Legal",Normalised!C$4:C$48,"&gt;=0"))</f>
        <v/>
      </c>
    </row>
    <row r="24">
      <c r="A24" s="6" t="inlineStr">
        <is>
          <t>Brazil</t>
        </is>
      </c>
      <c r="B24" s="13">
        <f>IF(COUNTIFS(Indicators!$B$4:$B$48,"Political",Normalised!D$4:D$48,"&gt;=0")=0,"",SUMIFS(Normalised!D$4:D$48,Indicators!$B$4:$B$48,"Political")/COUNTIFS(Indicators!$B$4:$B$48,"Political",Normalised!D$4:D$48,"&gt;=0"))</f>
        <v/>
      </c>
      <c r="C24" s="13">
        <f>IF(COUNTIFS(Indicators!$B$4:$B$48,"Economic",Normalised!D$4:D$48,"&gt;=0")=0,"",SUMIFS(Normalised!D$4:D$48,Indicators!$B$4:$B$48,"Economic")/COUNTIFS(Indicators!$B$4:$B$48,"Economic",Normalised!D$4:D$48,"&gt;=0"))</f>
        <v/>
      </c>
      <c r="D24" s="13">
        <f>IF(COUNTIFS(Indicators!$B$4:$B$48,"Social",Normalised!D$4:D$48,"&gt;=0")=0,"",SUMIFS(Normalised!D$4:D$48,Indicators!$B$4:$B$48,"Social")/COUNTIFS(Indicators!$B$4:$B$48,"Social",Normalised!D$4:D$48,"&gt;=0"))</f>
        <v/>
      </c>
      <c r="E24" s="13">
        <f>IF(COUNTIFS(Indicators!$B$4:$B$48,"Technological",Normalised!D$4:D$48,"&gt;=0")=0,"",SUMIFS(Normalised!D$4:D$48,Indicators!$B$4:$B$48,"Technological")/COUNTIFS(Indicators!$B$4:$B$48,"Technological",Normalised!D$4:D$48,"&gt;=0"))</f>
        <v/>
      </c>
      <c r="F24" s="13">
        <f>IF(COUNTIFS(Indicators!$B$4:$B$48,"Environmental",Normalised!D$4:D$48,"&gt;=0")=0,"",SUMIFS(Normalised!D$4:D$48,Indicators!$B$4:$B$48,"Environmental")/COUNTIFS(Indicators!$B$4:$B$48,"Environmental",Normalised!D$4:D$48,"&gt;=0"))</f>
        <v/>
      </c>
      <c r="G24" s="13">
        <f>IF(COUNTIFS(Indicators!$B$4:$B$48,"Legal",Normalised!D$4:D$48,"&gt;=0")=0,"",SUMIFS(Normalised!D$4:D$48,Indicators!$B$4:$B$48,"Legal")/COUNTIFS(Indicators!$B$4:$B$48,"Legal",Normalised!D$4:D$48,"&gt;=0"))</f>
        <v/>
      </c>
    </row>
    <row r="25">
      <c r="A25" s="6" t="inlineStr">
        <is>
          <t>Chile</t>
        </is>
      </c>
      <c r="B25" s="13">
        <f>IF(COUNTIFS(Indicators!$B$4:$B$48,"Political",Normalised!E$4:E$48,"&gt;=0")=0,"",SUMIFS(Normalised!E$4:E$48,Indicators!$B$4:$B$48,"Political")/COUNTIFS(Indicators!$B$4:$B$48,"Political",Normalised!E$4:E$48,"&gt;=0"))</f>
        <v/>
      </c>
      <c r="C25" s="13">
        <f>IF(COUNTIFS(Indicators!$B$4:$B$48,"Economic",Normalised!E$4:E$48,"&gt;=0")=0,"",SUMIFS(Normalised!E$4:E$48,Indicators!$B$4:$B$48,"Economic")/COUNTIFS(Indicators!$B$4:$B$48,"Economic",Normalised!E$4:E$48,"&gt;=0"))</f>
        <v/>
      </c>
      <c r="D25" s="13">
        <f>IF(COUNTIFS(Indicators!$B$4:$B$48,"Social",Normalised!E$4:E$48,"&gt;=0")=0,"",SUMIFS(Normalised!E$4:E$48,Indicators!$B$4:$B$48,"Social")/COUNTIFS(Indicators!$B$4:$B$48,"Social",Normalised!E$4:E$48,"&gt;=0"))</f>
        <v/>
      </c>
      <c r="E25" s="13">
        <f>IF(COUNTIFS(Indicators!$B$4:$B$48,"Technological",Normalised!E$4:E$48,"&gt;=0")=0,"",SUMIFS(Normalised!E$4:E$48,Indicators!$B$4:$B$48,"Technological")/COUNTIFS(Indicators!$B$4:$B$48,"Technological",Normalised!E$4:E$48,"&gt;=0"))</f>
        <v/>
      </c>
      <c r="F25" s="13">
        <f>IF(COUNTIFS(Indicators!$B$4:$B$48,"Environmental",Normalised!E$4:E$48,"&gt;=0")=0,"",SUMIFS(Normalised!E$4:E$48,Indicators!$B$4:$B$48,"Environmental")/COUNTIFS(Indicators!$B$4:$B$48,"Environmental",Normalised!E$4:E$48,"&gt;=0"))</f>
        <v/>
      </c>
      <c r="G25" s="13">
        <f>IF(COUNTIFS(Indicators!$B$4:$B$48,"Legal",Normalised!E$4:E$48,"&gt;=0")=0,"",SUMIFS(Normalised!E$4:E$48,Indicators!$B$4:$B$48,"Legal")/COUNTIFS(Indicators!$B$4:$B$48,"Legal",Normalised!E$4:E$48,"&gt;=0"))</f>
        <v/>
      </c>
    </row>
    <row r="26">
      <c r="A26" s="6" t="inlineStr">
        <is>
          <t>Colombia</t>
        </is>
      </c>
      <c r="B26" s="13">
        <f>IF(COUNTIFS(Indicators!$B$4:$B$48,"Political",Normalised!F$4:F$48,"&gt;=0")=0,"",SUMIFS(Normalised!F$4:F$48,Indicators!$B$4:$B$48,"Political")/COUNTIFS(Indicators!$B$4:$B$48,"Political",Normalised!F$4:F$48,"&gt;=0"))</f>
        <v/>
      </c>
      <c r="C26" s="13">
        <f>IF(COUNTIFS(Indicators!$B$4:$B$48,"Economic",Normalised!F$4:F$48,"&gt;=0")=0,"",SUMIFS(Normalised!F$4:F$48,Indicators!$B$4:$B$48,"Economic")/COUNTIFS(Indicators!$B$4:$B$48,"Economic",Normalised!F$4:F$48,"&gt;=0"))</f>
        <v/>
      </c>
      <c r="D26" s="13">
        <f>IF(COUNTIFS(Indicators!$B$4:$B$48,"Social",Normalised!F$4:F$48,"&gt;=0")=0,"",SUMIFS(Normalised!F$4:F$48,Indicators!$B$4:$B$48,"Social")/COUNTIFS(Indicators!$B$4:$B$48,"Social",Normalised!F$4:F$48,"&gt;=0"))</f>
        <v/>
      </c>
      <c r="E26" s="13">
        <f>IF(COUNTIFS(Indicators!$B$4:$B$48,"Technological",Normalised!F$4:F$48,"&gt;=0")=0,"",SUMIFS(Normalised!F$4:F$48,Indicators!$B$4:$B$48,"Technological")/COUNTIFS(Indicators!$B$4:$B$48,"Technological",Normalised!F$4:F$48,"&gt;=0"))</f>
        <v/>
      </c>
      <c r="F26" s="13">
        <f>IF(COUNTIFS(Indicators!$B$4:$B$48,"Environmental",Normalised!F$4:F$48,"&gt;=0")=0,"",SUMIFS(Normalised!F$4:F$48,Indicators!$B$4:$B$48,"Environmental")/COUNTIFS(Indicators!$B$4:$B$48,"Environmental",Normalised!F$4:F$48,"&gt;=0"))</f>
        <v/>
      </c>
      <c r="G26" s="13">
        <f>IF(COUNTIFS(Indicators!$B$4:$B$48,"Legal",Normalised!F$4:F$48,"&gt;=0")=0,"",SUMIFS(Normalised!F$4:F$48,Indicators!$B$4:$B$48,"Legal")/COUNTIFS(Indicators!$B$4:$B$48,"Legal",Normalised!F$4:F$48,"&gt;=0"))</f>
        <v/>
      </c>
    </row>
    <row r="27">
      <c r="A27" s="6" t="inlineStr">
        <is>
          <t>Mexico</t>
        </is>
      </c>
      <c r="B27" s="13">
        <f>IF(COUNTIFS(Indicators!$B$4:$B$48,"Political",Normalised!G$4:G$48,"&gt;=0")=0,"",SUMIFS(Normalised!G$4:G$48,Indicators!$B$4:$B$48,"Political")/COUNTIFS(Indicators!$B$4:$B$48,"Political",Normalised!G$4:G$48,"&gt;=0"))</f>
        <v/>
      </c>
      <c r="C27" s="13">
        <f>IF(COUNTIFS(Indicators!$B$4:$B$48,"Economic",Normalised!G$4:G$48,"&gt;=0")=0,"",SUMIFS(Normalised!G$4:G$48,Indicators!$B$4:$B$48,"Economic")/COUNTIFS(Indicators!$B$4:$B$48,"Economic",Normalised!G$4:G$48,"&gt;=0"))</f>
        <v/>
      </c>
      <c r="D27" s="13">
        <f>IF(COUNTIFS(Indicators!$B$4:$B$48,"Social",Normalised!G$4:G$48,"&gt;=0")=0,"",SUMIFS(Normalised!G$4:G$48,Indicators!$B$4:$B$48,"Social")/COUNTIFS(Indicators!$B$4:$B$48,"Social",Normalised!G$4:G$48,"&gt;=0"))</f>
        <v/>
      </c>
      <c r="E27" s="13">
        <f>IF(COUNTIFS(Indicators!$B$4:$B$48,"Technological",Normalised!G$4:G$48,"&gt;=0")=0,"",SUMIFS(Normalised!G$4:G$48,Indicators!$B$4:$B$48,"Technological")/COUNTIFS(Indicators!$B$4:$B$48,"Technological",Normalised!G$4:G$48,"&gt;=0"))</f>
        <v/>
      </c>
      <c r="F27" s="13">
        <f>IF(COUNTIFS(Indicators!$B$4:$B$48,"Environmental",Normalised!G$4:G$48,"&gt;=0")=0,"",SUMIFS(Normalised!G$4:G$48,Indicators!$B$4:$B$48,"Environmental")/COUNTIFS(Indicators!$B$4:$B$48,"Environmental",Normalised!G$4:G$48,"&gt;=0"))</f>
        <v/>
      </c>
      <c r="G27" s="13">
        <f>IF(COUNTIFS(Indicators!$B$4:$B$48,"Legal",Normalised!G$4:G$48,"&gt;=0")=0,"",SUMIFS(Normalised!G$4:G$48,Indicators!$B$4:$B$48,"Legal")/COUNTIFS(Indicators!$B$4:$B$48,"Legal",Normalised!G$4:G$48,"&gt;=0"))</f>
        <v/>
      </c>
    </row>
    <row r="28">
      <c r="A28" s="6" t="inlineStr">
        <is>
          <t>Uruguay</t>
        </is>
      </c>
      <c r="B28" s="13">
        <f>IF(COUNTIFS(Indicators!$B$4:$B$48,"Political",Normalised!H$4:H$48,"&gt;=0")=0,"",SUMIFS(Normalised!H$4:H$48,Indicators!$B$4:$B$48,"Political")/COUNTIFS(Indicators!$B$4:$B$48,"Political",Normalised!H$4:H$48,"&gt;=0"))</f>
        <v/>
      </c>
      <c r="C28" s="13">
        <f>IF(COUNTIFS(Indicators!$B$4:$B$48,"Economic",Normalised!H$4:H$48,"&gt;=0")=0,"",SUMIFS(Normalised!H$4:H$48,Indicators!$B$4:$B$48,"Economic")/COUNTIFS(Indicators!$B$4:$B$48,"Economic",Normalised!H$4:H$48,"&gt;=0"))</f>
        <v/>
      </c>
      <c r="D28" s="13">
        <f>IF(COUNTIFS(Indicators!$B$4:$B$48,"Social",Normalised!H$4:H$48,"&gt;=0")=0,"",SUMIFS(Normalised!H$4:H$48,Indicators!$B$4:$B$48,"Social")/COUNTIFS(Indicators!$B$4:$B$48,"Social",Normalised!H$4:H$48,"&gt;=0"))</f>
        <v/>
      </c>
      <c r="E28" s="13">
        <f>IF(COUNTIFS(Indicators!$B$4:$B$48,"Technological",Normalised!H$4:H$48,"&gt;=0")=0,"",SUMIFS(Normalised!H$4:H$48,Indicators!$B$4:$B$48,"Technological")/COUNTIFS(Indicators!$B$4:$B$48,"Technological",Normalised!H$4:H$48,"&gt;=0"))</f>
        <v/>
      </c>
      <c r="F28" s="13">
        <f>IF(COUNTIFS(Indicators!$B$4:$B$48,"Environmental",Normalised!H$4:H$48,"&gt;=0")=0,"",SUMIFS(Normalised!H$4:H$48,Indicators!$B$4:$B$48,"Environmental")/COUNTIFS(Indicators!$B$4:$B$48,"Environmental",Normalised!H$4:H$48,"&gt;=0"))</f>
        <v/>
      </c>
      <c r="G28" s="13">
        <f>IF(COUNTIFS(Indicators!$B$4:$B$48,"Legal",Normalised!H$4:H$48,"&gt;=0")=0,"",SUMIFS(Normalised!H$4:H$48,Indicators!$B$4:$B$48,"Legal")/COUNTIFS(Indicators!$B$4:$B$48,"Legal",Normalised!H$4:H$48,"&gt;=0"))</f>
        <v/>
      </c>
    </row>
    <row r="30">
      <c r="A30" s="19" t="inlineStr">
        <is>
          <t>D. Baseline weights with T-scores (second normalisation)</t>
        </is>
      </c>
    </row>
    <row r="31">
      <c r="A31" s="5" t="inlineStr">
        <is>
          <t>Country</t>
        </is>
      </c>
      <c r="B31" s="5" t="inlineStr">
        <is>
          <t>Weighted T-score</t>
        </is>
      </c>
      <c r="C31" s="5" t="inlineStr">
        <is>
          <t>Rank</t>
        </is>
      </c>
    </row>
    <row r="32">
      <c r="A32" s="6" t="inlineStr">
        <is>
          <t>Argentina</t>
        </is>
      </c>
      <c r="B32" s="13">
        <f>IF(COUNT('T-scores'!C4:C48)&lt;45,"incomplete",SUMPRODUCT(Weights!C17:C61,'T-scores'!C4:C48)/100)</f>
        <v/>
      </c>
      <c r="C32" s="8">
        <f>IF(ISNUMBER(B32),RANK(B32,B$32:B$37),"")</f>
        <v/>
      </c>
    </row>
    <row r="33">
      <c r="A33" s="6" t="inlineStr">
        <is>
          <t>Brazil</t>
        </is>
      </c>
      <c r="B33" s="13">
        <f>IF(COUNT('T-scores'!D4:D48)&lt;45,"incomplete",SUMPRODUCT(Weights!C17:C61,'T-scores'!D4:D48)/100)</f>
        <v/>
      </c>
      <c r="C33" s="8">
        <f>IF(ISNUMBER(B33),RANK(B33,B$32:B$37),"")</f>
        <v/>
      </c>
    </row>
    <row r="34">
      <c r="A34" s="6" t="inlineStr">
        <is>
          <t>Chile</t>
        </is>
      </c>
      <c r="B34" s="13">
        <f>IF(COUNT('T-scores'!E4:E48)&lt;45,"incomplete",SUMPRODUCT(Weights!C17:C61,'T-scores'!E4:E48)/100)</f>
        <v/>
      </c>
      <c r="C34" s="8">
        <f>IF(ISNUMBER(B34),RANK(B34,B$32:B$37),"")</f>
        <v/>
      </c>
    </row>
    <row r="35">
      <c r="A35" s="6" t="inlineStr">
        <is>
          <t>Colombia</t>
        </is>
      </c>
      <c r="B35" s="13">
        <f>IF(COUNT('T-scores'!F4:F48)&lt;45,"incomplete",SUMPRODUCT(Weights!C17:C61,'T-scores'!F4:F48)/100)</f>
        <v/>
      </c>
      <c r="C35" s="8">
        <f>IF(ISNUMBER(B35),RANK(B35,B$32:B$37),"")</f>
        <v/>
      </c>
    </row>
    <row r="36">
      <c r="A36" s="6" t="inlineStr">
        <is>
          <t>Mexico</t>
        </is>
      </c>
      <c r="B36" s="13">
        <f>IF(COUNT('T-scores'!G4:G48)&lt;45,"incomplete",SUMPRODUCT(Weights!C17:C61,'T-scores'!G4:G48)/100)</f>
        <v/>
      </c>
      <c r="C36" s="8">
        <f>IF(ISNUMBER(B36),RANK(B36,B$32:B$37),"")</f>
        <v/>
      </c>
    </row>
    <row r="37">
      <c r="A37" s="6" t="inlineStr">
        <is>
          <t>Uruguay</t>
        </is>
      </c>
      <c r="B37" s="13">
        <f>IF(COUNT('T-scores'!H4:H48)&lt;45,"incomplete",SUMPRODUCT(Weights!C17:C61,'T-scores'!H4:H48)/100)</f>
        <v/>
      </c>
      <c r="C37" s="8">
        <f>IF(ISNUMBER(B37),RANK(B37,B$32:B$37),"")</f>
        <v/>
      </c>
    </row>
  </sheetData>
  <sheetProtection selectLockedCells="0" selectUnlockedCells="0" sheet="1" objects="0" insertRows="1" insertHyperlinks="1" autoFilter="1" scenarios="0" formatColumns="0" deleteColumns="1" insertColumns="1" pivotTables="1" deleteRows="1" formatCells="1" formatRows="0" sort="1"/>
  <conditionalFormatting sqref="B14:F19">
    <cfRule type="expression" priority="1" dxfId="0">
      <formula>B14=1</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3"/>
  <sheetViews>
    <sheetView showGridLines="0" workbookViewId="0">
      <selection activeCell="A1" sqref="A1"/>
    </sheetView>
  </sheetViews>
  <sheetFormatPr baseColWidth="8" defaultRowHeight="15"/>
  <cols>
    <col width="9" customWidth="1" min="1" max="1"/>
    <col width="38" customWidth="1" min="2" max="2"/>
    <col width="34" customWidth="1" min="3" max="3"/>
    <col width="34" customWidth="1" min="4" max="4"/>
    <col width="34" customWidth="1" min="5" max="5"/>
  </cols>
  <sheetData>
    <row r="1">
      <c r="A1" s="1" t="inlineStr">
        <is>
          <t>Scoring rubrics for qualitative indicators (1 to 5)</t>
        </is>
      </c>
    </row>
    <row r="3">
      <c r="A3" s="5" t="inlineStr">
        <is>
          <t>Rubric</t>
        </is>
      </c>
      <c r="B3" s="5" t="inlineStr">
        <is>
          <t>Indicator</t>
        </is>
      </c>
      <c r="C3" s="5" t="inlineStr">
        <is>
          <t>1</t>
        </is>
      </c>
      <c r="D3" s="5" t="inlineStr">
        <is>
          <t>3</t>
        </is>
      </c>
      <c r="E3" s="5" t="inlineStr">
        <is>
          <t>5</t>
        </is>
      </c>
    </row>
    <row r="4" ht="40" customHeight="1">
      <c r="A4" s="6" t="inlineStr">
        <is>
          <t>A</t>
        </is>
      </c>
      <c r="B4" s="4" t="inlineStr">
        <is>
          <t>Trade agreement between the EU and the country</t>
        </is>
      </c>
      <c r="C4" s="4" t="inlineStr">
        <is>
          <t>No agreement; full tariffs and no negotiation</t>
        </is>
      </c>
      <c r="D4" s="4" t="inlineStr">
        <is>
          <t>Agreement under negotiation, or partial or interim agreement</t>
        </is>
      </c>
      <c r="E4" s="4" t="inlineStr">
        <is>
          <t>Agreement in force covering coffee, tariff at or near zero</t>
        </is>
      </c>
    </row>
    <row r="5" ht="40" customHeight="1">
      <c r="A5" s="6" t="inlineStr">
        <is>
          <t>B</t>
        </is>
      </c>
      <c r="B5" s="4" t="inlineStr">
        <is>
          <t>Cafe culture</t>
        </is>
      </c>
      <c r="C5" s="4" t="inlineStr">
        <is>
          <t>Coffee mainly consumed at home (instant, filter); few cafes</t>
        </is>
      </c>
      <c r="D5" s="4" t="inlineStr">
        <is>
          <t>Established cafe scene in the large cities only</t>
        </is>
      </c>
      <c r="E5" s="4" t="inlineStr">
        <is>
          <t>Strong cafe culture in several cities; coffee out of home is a habit</t>
        </is>
      </c>
    </row>
    <row r="6" ht="40" customHeight="1">
      <c r="A6" s="6" t="inlineStr">
        <is>
          <t>C</t>
        </is>
      </c>
      <c r="B6" s="4" t="inlineStr">
        <is>
          <t>European influence on coffee culture</t>
        </is>
      </c>
      <c r="C6" s="4" t="inlineStr">
        <is>
          <t>No visible European influence on cafes or habits</t>
        </is>
      </c>
      <c r="D6" s="4" t="inlineStr">
        <is>
          <t>Some European-style cafes, hotels or pastry in the large cities</t>
        </is>
      </c>
      <c r="E6" s="4" t="inlineStr">
        <is>
          <t>Strong European tradition (immigration, cafe house culture) visible in everyday coffee habits</t>
        </is>
      </c>
    </row>
    <row r="7" ht="40" customHeight="1">
      <c r="A7" s="6" t="inlineStr">
        <is>
          <t>D</t>
        </is>
      </c>
      <c r="B7" s="4" t="inlineStr">
        <is>
          <t>Demand for certified and sustainable coffee</t>
        </is>
      </c>
      <c r="C7" s="4" t="inlineStr">
        <is>
          <t>No visible demand; certifications unknown to buyers</t>
        </is>
      </c>
      <c r="D7" s="4" t="inlineStr">
        <is>
          <t>Niche demand in premium retail and hotels</t>
        </is>
      </c>
      <c r="E7" s="4" t="inlineStr">
        <is>
          <t>Mainstream expectation among premium buyers and hotel groups</t>
        </is>
      </c>
    </row>
    <row r="8" ht="40" customHeight="1">
      <c r="A8" s="6" t="inlineStr">
        <is>
          <t>E</t>
        </is>
      </c>
      <c r="B8" s="4" t="inlineStr">
        <is>
          <t>Packaging and waste rules for imported goods</t>
        </is>
      </c>
      <c r="C8" s="4" t="inlineStr">
        <is>
          <t>Extensive rules (producer responsibility, local packaging requirements)</t>
        </is>
      </c>
      <c r="D8" s="4" t="inlineStr">
        <is>
          <t>Some rules; limited adaptation of packaging</t>
        </is>
      </c>
      <c r="E8" s="4" t="inlineStr">
        <is>
          <t>Few or no specific rules for imported coffee packaging</t>
        </is>
      </c>
    </row>
    <row r="9" ht="40" customHeight="1">
      <c r="A9" s="6" t="inlineStr">
        <is>
          <t>F</t>
        </is>
      </c>
      <c r="B9" s="4" t="inlineStr">
        <is>
          <t>Product, labelling and certification requirements</t>
        </is>
      </c>
      <c r="C9" s="4" t="inlineStr">
        <is>
          <t>Many requirements; local registration or testing needed</t>
        </is>
      </c>
      <c r="D9" s="4" t="inlineStr">
        <is>
          <t>Moderate requirements; some adaptation of labels</t>
        </is>
      </c>
      <c r="E9" s="4" t="inlineStr">
        <is>
          <t>Few requirements; EU labels and certificates accepted</t>
        </is>
      </c>
    </row>
    <row r="10" ht="40" customHeight="1">
      <c r="A10" s="6" t="inlineStr">
        <is>
          <t>G</t>
        </is>
      </c>
      <c r="B10" s="4" t="inlineStr">
        <is>
          <t>Trademark protection</t>
        </is>
      </c>
      <c r="C10" s="4" t="inlineStr">
        <is>
          <t>Weak protection; registration slow or unreliable</t>
        </is>
      </c>
      <c r="D10" s="4" t="inlineStr">
        <is>
          <t>Registration possible; enforcement uneven</t>
        </is>
      </c>
      <c r="E10" s="4" t="inlineStr">
        <is>
          <t>Fast registration and reliable enforcement</t>
        </is>
      </c>
    </row>
    <row r="11" ht="40" customHeight="1">
      <c r="A11" s="6" t="inlineStr">
        <is>
          <t>H</t>
        </is>
      </c>
      <c r="B11" s="4" t="inlineStr">
        <is>
          <t>Rules for ending a distribution agreement</t>
        </is>
      </c>
      <c r="C11" s="4" t="inlineStr">
        <is>
          <t>Termination very costly (compensation, long notice, court)</t>
        </is>
      </c>
      <c r="D11" s="4" t="inlineStr">
        <is>
          <t>Termination possible with notice and moderate compensation</t>
        </is>
      </c>
      <c r="E11" s="4" t="inlineStr">
        <is>
          <t>Termination easy; contract terms decide</t>
        </is>
      </c>
    </row>
    <row r="13">
      <c r="A13" s="2" t="inlineStr">
        <is>
          <t>Scores 2 and 4 are used for cases between the anchors. Two team members score independently, then agree; write the reason in the source cell.</t>
        </is>
      </c>
    </row>
  </sheetData>
  <sheetProtection selectLockedCells="0" selectUnlockedCells="0" sheet="1" objects="0" insertRows="1" insertHyperlinks="1" autoFilter="1" scenarios="0" formatColumns="0" deleteColumns="1" insertColumns="1" pivotTables="1" deleteRows="1" formatCells="1" formatRows="0"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2026-10-13T16:01:05Z</dcterms:created>
  <dcterms:modified xmlns:dcterms="http://purl.org/dc/terms/" xmlns:xsi="http://www.w3.org/2001/XMLSchema-instance" xsi:type="dcterms:W3CDTF">2026-10-13T16:01:05Z</dcterms:modified>
</cp:coreProperties>
</file>