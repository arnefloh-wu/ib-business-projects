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ESTEL guide" sheetId="2" state="visible" r:id="rId2"/>
    <sheet xmlns:r="http://schemas.openxmlformats.org/officeDocument/2006/relationships" name="Long list" sheetId="3" state="visible" r:id="rId3"/>
    <sheet xmlns:r="http://schemas.openxmlformats.org/officeDocument/2006/relationships" name="Summary" sheetId="4" state="visible" r:id="rId4"/>
    <sheet xmlns:r="http://schemas.openxmlformats.org/officeDocument/2006/relationships" name="Sources" sheetId="5" state="visible" r:id="rId5"/>
  </sheets>
  <definedNames>
    <definedName name="_xlnm._FilterDatabase" localSheetId="2" hidden="1">'Long list'!$A$1:$Z$100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Verdana"/>
      <b val="1"/>
      <color rgb="00002350"/>
      <sz val="14"/>
    </font>
    <font>
      <name val="Verdana"/>
      <color rgb="00595959"/>
      <sz val="10"/>
    </font>
    <font>
      <name val="Verdana"/>
      <b val="1"/>
      <sz val="10"/>
    </font>
    <font>
      <name val="Verdana"/>
      <sz val="10"/>
    </font>
    <font>
      <name val="Verdana"/>
      <color rgb="000000FF"/>
      <sz val="10"/>
    </font>
    <font>
      <name val="Verdana"/>
      <b val="1"/>
      <color rgb="00FFFFFF"/>
      <sz val="10"/>
    </font>
  </fonts>
  <fills count="6">
    <fill>
      <patternFill/>
    </fill>
    <fill>
      <patternFill patternType="gray125"/>
    </fill>
    <fill>
      <patternFill patternType="solid">
        <fgColor rgb="00F2F2F2"/>
      </patternFill>
    </fill>
    <fill>
      <patternFill patternType="solid">
        <fgColor rgb="00FFFF00"/>
      </patternFill>
    </fill>
    <fill>
      <patternFill patternType="solid">
        <fgColor rgb="00002350"/>
      </patternFill>
    </fill>
    <fill>
      <patternFill patternType="solid">
        <fgColor rgb="00E5F5FA"/>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5" fillId="3" borderId="0" applyAlignment="1" pivotButton="0" quotePrefix="0" xfId="0">
      <alignment vertical="top" wrapText="1"/>
    </xf>
    <xf numFmtId="0" fontId="6" fillId="4" borderId="1" applyAlignment="1" pivotButton="0" quotePrefix="0" xfId="0">
      <alignment horizontal="center" vertical="center" wrapText="1"/>
    </xf>
    <xf numFmtId="0" fontId="3" fillId="0" borderId="1" applyAlignment="1" pivotButton="0" quotePrefix="0" xfId="0">
      <alignment vertical="top" wrapText="1"/>
    </xf>
    <xf numFmtId="0" fontId="5" fillId="0" borderId="1" applyAlignment="1" pivotButton="0" quotePrefix="0" xfId="0">
      <alignment vertical="top" wrapText="1"/>
    </xf>
    <xf numFmtId="0" fontId="3" fillId="5" borderId="1" applyAlignment="1" pivotButton="0" quotePrefix="0" xfId="0">
      <alignment vertical="top" wrapText="1"/>
    </xf>
    <xf numFmtId="0" fontId="4" fillId="0" borderId="1" applyAlignment="1" pivotButton="0" quotePrefix="0" xfId="0">
      <alignment vertical="top" wrapText="1"/>
    </xf>
    <xf numFmtId="0" fontId="4" fillId="2" borderId="1" applyAlignment="1" pivotButton="0" quotePrefix="0" xfId="0">
      <alignment vertical="top" wrapText="1"/>
    </xf>
    <xf numFmtId="49" fontId="5" fillId="0" borderId="1" applyAlignment="1" pivotButton="0" quotePrefix="0" xfId="0">
      <alignment vertical="top" wrapText="1"/>
    </xf>
    <xf numFmtId="0" fontId="3" fillId="2" borderId="1" applyAlignment="1" pivotButton="0" quotePrefix="0" xfId="0">
      <alignment vertical="top" wrapText="1"/>
    </xf>
    <xf numFmtId="0" fontId="0" fillId="0" borderId="4" pivotButton="0" quotePrefix="0" xfId="0"/>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ont>
        <name val="Verdana"/>
        <b val="1"/>
        <color rgb="00C0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showGridLines="1" workbookViewId="0">
      <selection activeCell="A1" sqref="A1"/>
    </sheetView>
  </sheetViews>
  <sheetFormatPr baseColWidth="8" defaultRowHeight="15"/>
  <cols>
    <col width="30" customWidth="1" min="1" max="1"/>
    <col width="110" customWidth="1" min="2" max="2"/>
  </cols>
  <sheetData>
    <row r="1">
      <c r="A1" s="1" t="inlineStr">
        <is>
          <t>PESTEL indicator search: Julius Meinl in Latin America</t>
        </is>
      </c>
    </row>
    <row r="2">
      <c r="A2" s="2" t="inlineStr">
        <is>
          <t>Business Projects WT 2026/27, midterm presentation (country selection). Countries: Argentina, Brazil, Chile, Colombia, Mexico, Uruguay.</t>
        </is>
      </c>
    </row>
    <row r="4" ht="42" customHeight="1">
      <c r="A4" s="3" t="inlineStr">
        <is>
          <t>Purpose</t>
        </is>
      </c>
      <c r="B4" s="4" t="inlineStr">
        <is>
          <t>Collect indicators that could describe the six countries for a premium coffee launch by Julius Meinl. Search for indicators for each PESTEL dimension first (political, economic, social, technological, environmental, legal). In the next step you shortlist 8 to 14 of them for your scoring model.</t>
        </is>
      </c>
    </row>
    <row r="6" ht="44" customHeight="1">
      <c r="A6" s="3" t="inlineStr">
        <is>
          <t>What to do</t>
        </is>
      </c>
      <c r="B6" s="4" t="inlineStr">
        <is>
          <t>1. Make your own copy: File &gt; Make a copy. Name it "Group X: PESTEL indicators". Share it with your team members (Editor) and with the instructor (Editor): arne.floh@wu.ac.at.</t>
        </is>
      </c>
    </row>
    <row r="7" ht="30" customHeight="1">
      <c r="B7" s="4" t="inlineStr">
        <is>
          <t>2. Read the tab "PESTEL guide" to see what each dimension covers and which question it answers for Julius Meinl.</t>
        </is>
      </c>
    </row>
    <row r="8" ht="44" customHeight="1">
      <c r="B8" s="4" t="inlineStr">
        <is>
          <t>3. In the tab "Long list", find at least as many candidate indicators per dimension as the Summary tab asks for. The rows marked "Instructor" are starting points; add your own rows below them and mark them "Group".</t>
        </is>
      </c>
    </row>
    <row r="9" ht="44" customHeight="1">
      <c r="B9" s="4" t="inlineStr">
        <is>
          <t>4. For every indicator, fill in the definition, source, link and direction. Open the source and check whether data exist for each of the six countries. Set each country to Yes, Partly, No or Not checked. The instructor has not checked coverage: this is your first task.</t>
        </is>
      </c>
    </row>
    <row r="10" ht="30" customHeight="1">
      <c r="B10" s="4" t="inlineStr">
        <is>
          <t>5. Rate each indicator for relevance and data quality (1 to 5).</t>
        </is>
      </c>
    </row>
    <row r="11" ht="44" customHeight="1">
      <c r="B11" s="4" t="inlineStr">
        <is>
          <t>6. Mark 8 to 14 indicators as Shortlist = Yes. Use the Summary tab to check that every dimension and all six Julius Meinl dimensions are represented and that the shortlisted indicators cover all six countries.</t>
        </is>
      </c>
    </row>
    <row r="12" ht="30" customHeight="1">
      <c r="B12" s="4" t="inlineStr">
        <is>
          <t>7. Copy the shortlist into the Criteria sheet of your Excel model.</t>
        </is>
      </c>
    </row>
    <row r="14" ht="30" customHeight="1">
      <c r="A14" s="3" t="inlineStr">
        <is>
          <t>Rules</t>
        </is>
      </c>
      <c r="B14" s="4" t="inlineStr">
        <is>
          <t>The source link opens the page where the data can be downloaded, not the home page of the publisher.</t>
        </is>
      </c>
    </row>
    <row r="15" ht="30" customHeight="1">
      <c r="B15" s="4" t="inlineStr">
        <is>
          <t>Write the latest year as text, for example 2024. Check the latest edition before you rely on a number.</t>
        </is>
      </c>
    </row>
    <row r="16" ht="30" customHeight="1">
      <c r="B16" s="4" t="inlineStr">
        <is>
          <t>Do not delete the instructor's rows. If you do not use an indicator, leave Shortlist empty and say why in the comment.</t>
        </is>
      </c>
    </row>
    <row r="17" ht="30" customHeight="1">
      <c r="B17" s="4" t="inlineStr">
        <is>
          <t>AI tools may help you to find indicators. Open the source yourself and confirm the data exist for all six countries before you enter Yes. List the tools you used in the comment of the row.</t>
        </is>
      </c>
    </row>
    <row r="18" ht="30" customHeight="1">
      <c r="B18" s="4" t="inlineStr">
        <is>
          <t>Qualitative indicators need a rubric: write the meaning of each score from 1 to 5 in the comment.</t>
        </is>
      </c>
    </row>
    <row r="20">
      <c r="A20" s="3" t="inlineStr">
        <is>
          <t>Colour code</t>
        </is>
      </c>
      <c r="B20" s="5" t="inlineStr">
        <is>
          <t>Blue text: typed by you or by the instructor (inputs).</t>
        </is>
      </c>
    </row>
    <row r="21">
      <c r="B21" s="6" t="inlineStr">
        <is>
          <t>Black text on grey: formula, do not edit.</t>
        </is>
      </c>
    </row>
    <row r="22">
      <c r="B22" s="7" t="inlineStr">
        <is>
          <t>Yellow fill: still to be confirmed by the instructor.</t>
        </is>
      </c>
    </row>
    <row r="24">
      <c r="A24" s="3" t="inlineStr">
        <is>
          <t>Deadline for the long list</t>
        </is>
      </c>
      <c r="B24" s="8" t="inlineStr">
        <is>
          <t>[date, to be confirmed]</t>
        </is>
      </c>
    </row>
    <row r="27">
      <c r="A27" s="3" t="inlineStr">
        <is>
          <t>How to fill in a row (example)</t>
        </is>
      </c>
    </row>
    <row r="28">
      <c r="A28" s="9" t="inlineStr">
        <is>
          <t>Column in "Long list"</t>
        </is>
      </c>
      <c r="B28" s="9" t="inlineStr">
        <is>
          <t>Example entry</t>
        </is>
      </c>
    </row>
    <row r="29">
      <c r="A29" s="10" t="inlineStr">
        <is>
          <t>PESTEL dimension</t>
        </is>
      </c>
      <c r="B29" s="11" t="inlineStr">
        <is>
          <t>Economic</t>
        </is>
      </c>
    </row>
    <row r="30">
      <c r="A30" s="10" t="inlineStr">
        <is>
          <t>Indicator</t>
        </is>
      </c>
      <c r="B30" s="11" t="inlineStr">
        <is>
          <t>GDP per capita, PPP</t>
        </is>
      </c>
    </row>
    <row r="31">
      <c r="A31" s="10" t="inlineStr">
        <is>
          <t>What it measures</t>
        </is>
      </c>
      <c r="B31" s="11" t="inlineStr">
        <is>
          <t>Output per person, adjusted for differences in price levels</t>
        </is>
      </c>
    </row>
    <row r="32">
      <c r="A32" s="10" t="inlineStr">
        <is>
          <t>Julius Meinl dimension</t>
        </is>
      </c>
      <c r="B32" s="11" t="inlineStr">
        <is>
          <t>Purchasing power</t>
        </is>
      </c>
    </row>
    <row r="33">
      <c r="A33" s="10" t="inlineStr">
        <is>
          <t>Type</t>
        </is>
      </c>
      <c r="B33" s="11" t="inlineStr">
        <is>
          <t>Quantitative</t>
        </is>
      </c>
    </row>
    <row r="34">
      <c r="A34" s="10" t="inlineStr">
        <is>
          <t>Unit</t>
        </is>
      </c>
      <c r="B34" s="11" t="inlineStr">
        <is>
          <t>International dollars, current</t>
        </is>
      </c>
    </row>
    <row r="35">
      <c r="A35" s="10" t="inlineStr">
        <is>
          <t>Direction</t>
        </is>
      </c>
      <c r="B35" s="11" t="inlineStr">
        <is>
          <t>Higher is better</t>
        </is>
      </c>
    </row>
    <row r="36">
      <c r="A36" s="10" t="inlineStr">
        <is>
          <t>Source name</t>
        </is>
      </c>
      <c r="B36" s="11" t="inlineStr">
        <is>
          <t>World Development Indicators, World Bank</t>
        </is>
      </c>
    </row>
    <row r="37">
      <c r="A37" s="10" t="inlineStr">
        <is>
          <t>Source link</t>
        </is>
      </c>
      <c r="B37" s="11" t="inlineStr">
        <is>
          <t>https://databank.worldbank.org/source/world-development-indicators</t>
        </is>
      </c>
    </row>
    <row r="38">
      <c r="A38" s="10" t="inlineStr">
        <is>
          <t>Latest year</t>
        </is>
      </c>
      <c r="B38" s="11" t="inlineStr">
        <is>
          <t>2024</t>
        </is>
      </c>
    </row>
    <row r="39">
      <c r="A39" s="10" t="inlineStr">
        <is>
          <t>Argentina to Uruguay</t>
        </is>
      </c>
      <c r="B39" s="11" t="inlineStr">
        <is>
          <t>Yes (six columns, one per country)</t>
        </is>
      </c>
    </row>
    <row r="40">
      <c r="A40" s="10" t="inlineStr">
        <is>
          <t>Relevance, data quality</t>
        </is>
      </c>
      <c r="B40" s="11" t="inlineStr">
        <is>
          <t>4 and 5</t>
        </is>
      </c>
    </row>
    <row r="41">
      <c r="A41" s="10" t="inlineStr">
        <is>
          <t>Shortlist?</t>
        </is>
      </c>
      <c r="B41" s="11" t="inlineStr">
        <is>
          <t>Yes</t>
        </is>
      </c>
    </row>
    <row r="42">
      <c r="A42" s="10" t="inlineStr">
        <is>
          <t>Suggested by</t>
        </is>
      </c>
      <c r="B42" s="11" t="inlineStr">
        <is>
          <t>Group</t>
        </is>
      </c>
    </row>
    <row r="43">
      <c r="A43" s="10" t="inlineStr">
        <is>
          <t>Found by, date checked</t>
        </is>
      </c>
      <c r="B43" s="11" t="inlineStr">
        <is>
          <t>Student A, 2026-10-20</t>
        </is>
      </c>
    </row>
    <row r="44">
      <c r="A44" s="10" t="inlineStr">
        <is>
          <t>Comment</t>
        </is>
      </c>
      <c r="B44" s="11" t="inlineStr">
        <is>
          <t>Use PPP rather than current US dollars to compare spending power.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50" customWidth="1" min="2" max="2"/>
    <col width="55" customWidth="1" min="3" max="3"/>
    <col width="38" customWidth="1" min="4" max="4"/>
    <col width="62" customWidth="1" min="5" max="5"/>
  </cols>
  <sheetData>
    <row r="1">
      <c r="A1" s="9" t="inlineStr">
        <is>
          <t>Dimension</t>
        </is>
      </c>
      <c r="B1" s="9" t="inlineStr">
        <is>
          <t>What it covers for a premium coffee launch</t>
        </is>
      </c>
      <c r="C1" s="9" t="inlineStr">
        <is>
          <t>Question to answer for Julius Meinl</t>
        </is>
      </c>
      <c r="D1" s="9" t="inlineStr">
        <is>
          <t>Related Julius Meinl dimensions</t>
        </is>
      </c>
      <c r="E1" s="9" t="inlineStr">
        <is>
          <t>Ideas to search for</t>
        </is>
      </c>
    </row>
    <row r="2" ht="70" customHeight="1">
      <c r="A2" s="12" t="inlineStr">
        <is>
          <t>Political</t>
        </is>
      </c>
      <c r="B2" s="13" t="inlineStr">
        <is>
          <t>Stability, governance quality, and the government's stance on trade and foreign business.</t>
        </is>
      </c>
      <c r="C2" s="13" t="inlineStr">
        <is>
          <t>Can a foreign premium brand and its local partner operate here without political or institutional surprises?</t>
        </is>
      </c>
      <c r="D2" s="13" t="inlineStr">
        <is>
          <t>Import and regulation</t>
        </is>
      </c>
      <c r="E2" s="13" t="inlineStr">
        <is>
          <t>Political stability, government effectiveness, corruption perception, economic freedom, trade agreement with the EU, country risk rating.</t>
        </is>
      </c>
    </row>
    <row r="3" ht="70" customHeight="1">
      <c r="A3" s="12" t="inlineStr">
        <is>
          <t>Economic</t>
        </is>
      </c>
      <c r="B3" s="13" t="inlineStr">
        <is>
          <t>Size, growth and spending power of the economy, tourism income, trade conditions and costs.</t>
        </is>
      </c>
      <c r="C3" s="13" t="inlineStr">
        <is>
          <t>Is there enough premium demand, and can Julius Meinl reach it at a viable cost?</t>
        </is>
      </c>
      <c r="D3" s="13" t="inlineStr">
        <is>
          <t>Premium coffee segment; Purchasing power; Tourism and hotels; Import and regulation</t>
        </is>
      </c>
      <c r="E3" s="13" t="inlineStr">
        <is>
          <t>GDP per capita (PPP), growth, household consumption, inflation and exchange rate, tourism receipts, coffee imports, tariffs on roasted coffee.</t>
        </is>
      </c>
    </row>
    <row r="4" ht="70" customHeight="1">
      <c r="A4" s="12" t="inlineStr">
        <is>
          <t>Social</t>
        </is>
      </c>
      <c r="B4" s="13" t="inlineStr">
        <is>
          <t>Demographics, lifestyle, culture and consumption habits, visitors.</t>
        </is>
      </c>
      <c r="C4" s="13" t="inlineStr">
        <is>
          <t>Do consumers and hotel guests value what Julius Meinl sells: Viennese coffee house culture, service and time for a cup of coffee?</t>
        </is>
      </c>
      <c r="D4" s="13" t="inlineStr">
        <is>
          <t>Coffee culture; Tourism and hotels</t>
        </is>
      </c>
      <c r="E4" s="13" t="inlineStr">
        <is>
          <t>Coffee consumption per capita, urbanisation, cultural distance from Austria, visitors from Europe, café culture, European influence.</t>
        </is>
      </c>
    </row>
    <row r="5" ht="70" customHeight="1">
      <c r="A5" s="12" t="inlineStr">
        <is>
          <t>Technological</t>
        </is>
      </c>
      <c r="B5" s="13" t="inlineStr">
        <is>
          <t>Digital and logistics infrastructure, and how people shop and pay.</t>
        </is>
      </c>
      <c r="C5" s="13" t="inlineStr">
        <is>
          <t>Can Julius Meinl reach customers through modern channels with reliable logistics?</t>
        </is>
      </c>
      <c r="D5" s="13" t="inlineStr">
        <is>
          <t>Premium coffee segment; Import and regulation</t>
        </is>
      </c>
      <c r="E5" s="13" t="inlineStr">
        <is>
          <t>Internet use, online retail and food delivery, digital payments, logistics performance, innovation capability.</t>
        </is>
      </c>
    </row>
    <row r="6" ht="70" customHeight="1">
      <c r="A6" s="12" t="inlineStr">
        <is>
          <t>Environmental</t>
        </is>
      </c>
      <c r="B6" s="13" t="inlineStr">
        <is>
          <t>Climate, sustainability expectations and supply risks.</t>
        </is>
      </c>
      <c r="C6" s="13" t="inlineStr">
        <is>
          <t>Do sustainability expectations or climate risks change demand, supply or the fit of the brand?</t>
        </is>
      </c>
      <c r="D6" s="13" t="inlineStr">
        <is>
          <t>Coffee culture; Competitive landscape</t>
        </is>
      </c>
      <c r="E6" s="13" t="inlineStr">
        <is>
          <t>Climate vulnerability, environmental performance, demand for certified coffee, domestic coffee production.</t>
        </is>
      </c>
    </row>
    <row r="7" ht="70" customHeight="1">
      <c r="A7" s="12" t="inlineStr">
        <is>
          <t>Legal</t>
        </is>
      </c>
      <c r="B7" s="13" t="inlineStr">
        <is>
          <t>Rules for importing, selling and doing business, and how reliably they are enforced.</t>
        </is>
      </c>
      <c r="C7" s="13" t="inlineStr">
        <is>
          <t>What must Julius Meinl comply with, and can contracts with a local partner be enforced?</t>
        </is>
      </c>
      <c r="D7" s="13" t="inlineStr">
        <is>
          <t>Import and regulation</t>
        </is>
      </c>
      <c r="E7" s="13" t="inlineStr">
        <is>
          <t>Regulatory quality, rule of law, product and labelling requirements, trademark protection, rules on ending distribution agreements, ease of doing business.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0"/>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41" customWidth="1" min="3" max="3"/>
    <col width="48" customWidth="1" min="4" max="4"/>
    <col width="26" customWidth="1" min="5" max="5"/>
    <col width="19" customWidth="1" min="6" max="6"/>
    <col width="26" customWidth="1" min="7" max="7"/>
    <col width="20" customWidth="1" min="8" max="8"/>
    <col width="36" customWidth="1" min="9" max="9"/>
    <col width="48"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22" customWidth="1" min="22" max="22"/>
    <col width="14" customWidth="1" min="23" max="23"/>
    <col width="17" customWidth="1" min="24" max="24"/>
    <col width="14" customWidth="1" min="25" max="25"/>
    <col width="60" customWidth="1" min="26" max="26"/>
  </cols>
  <sheetData>
    <row r="1" ht="42" customHeight="1">
      <c r="A1" s="9" t="inlineStr">
        <is>
          <t>ID</t>
        </is>
      </c>
      <c r="B1" s="9" t="inlineStr">
        <is>
          <t>PESTEL dimension</t>
        </is>
      </c>
      <c r="C1" s="9" t="inlineStr">
        <is>
          <t>Indicator</t>
        </is>
      </c>
      <c r="D1" s="9" t="inlineStr">
        <is>
          <t>What it measures</t>
        </is>
      </c>
      <c r="E1" s="9" t="inlineStr">
        <is>
          <t>Julius Meinl dimension</t>
        </is>
      </c>
      <c r="F1" s="9" t="inlineStr">
        <is>
          <t>Type</t>
        </is>
      </c>
      <c r="G1" s="9" t="inlineStr">
        <is>
          <t>Unit</t>
        </is>
      </c>
      <c r="H1" s="9" t="inlineStr">
        <is>
          <t>Direction</t>
        </is>
      </c>
      <c r="I1" s="9" t="inlineStr">
        <is>
          <t>Source name</t>
        </is>
      </c>
      <c r="J1" s="9" t="inlineStr">
        <is>
          <t>Source link</t>
        </is>
      </c>
      <c r="K1" s="9" t="inlineStr">
        <is>
          <t>Latest year</t>
        </is>
      </c>
      <c r="L1" s="9" t="inlineStr">
        <is>
          <t>Argentina</t>
        </is>
      </c>
      <c r="M1" s="9" t="inlineStr">
        <is>
          <t>Brazil</t>
        </is>
      </c>
      <c r="N1" s="9" t="inlineStr">
        <is>
          <t>Chile</t>
        </is>
      </c>
      <c r="O1" s="9" t="inlineStr">
        <is>
          <t>Colombia</t>
        </is>
      </c>
      <c r="P1" s="9" t="inlineStr">
        <is>
          <t>Mexico</t>
        </is>
      </c>
      <c r="Q1" s="9" t="inlineStr">
        <is>
          <t>Uruguay</t>
        </is>
      </c>
      <c r="R1" s="9" t="inlineStr">
        <is>
          <t>Countries covered</t>
        </is>
      </c>
      <c r="S1" s="9" t="inlineStr">
        <is>
          <t>Relevance (1-5)</t>
        </is>
      </c>
      <c r="T1" s="9" t="inlineStr">
        <is>
          <t>Data quality (1-5)</t>
        </is>
      </c>
      <c r="U1" s="9" t="inlineStr">
        <is>
          <t>Shortlist?</t>
        </is>
      </c>
      <c r="V1" s="9" t="inlineStr">
        <is>
          <t>Shortlist check</t>
        </is>
      </c>
      <c r="W1" s="9" t="inlineStr">
        <is>
          <t>Suggested by</t>
        </is>
      </c>
      <c r="X1" s="9" t="inlineStr">
        <is>
          <t>Found by</t>
        </is>
      </c>
      <c r="Y1" s="9" t="inlineStr">
        <is>
          <t>Date checked</t>
        </is>
      </c>
      <c r="Z1" s="9" t="inlineStr">
        <is>
          <t>Comment</t>
        </is>
      </c>
    </row>
    <row r="2" ht="40" customHeight="1">
      <c r="A2" s="14">
        <f>IF(B2="","",UPPER(LEFT(B2,2))&amp;TEXT(COUNTIF(B$2:B2,B2),"00"))</f>
        <v/>
      </c>
      <c r="B2" s="11" t="inlineStr">
        <is>
          <t>Political</t>
        </is>
      </c>
      <c r="C2" s="11" t="inlineStr">
        <is>
          <t>Political stability and absence of violence</t>
        </is>
      </c>
      <c r="D2" s="11" t="inlineStr">
        <is>
          <t>Likelihood of political instability or politically motivated violence</t>
        </is>
      </c>
      <c r="E2" s="11" t="inlineStr">
        <is>
          <t>Other (explain)</t>
        </is>
      </c>
      <c r="F2" s="11" t="inlineStr">
        <is>
          <t>Quantitative</t>
        </is>
      </c>
      <c r="G2" s="11" t="inlineStr">
        <is>
          <t>Estimate, about -2.5 to 2.5</t>
        </is>
      </c>
      <c r="H2" s="11" t="inlineStr">
        <is>
          <t>Higher is better</t>
        </is>
      </c>
      <c r="I2" s="11" t="inlineStr">
        <is>
          <t>Worldwide Governance Indicators, World Bank</t>
        </is>
      </c>
      <c r="J2" s="11" t="inlineStr">
        <is>
          <t>https://www.worldbank.org/en/publication/worldwide-governance-indicators</t>
        </is>
      </c>
      <c r="K2" s="15" t="n"/>
      <c r="L2" s="11" t="inlineStr">
        <is>
          <t>Not checked</t>
        </is>
      </c>
      <c r="M2" s="11" t="inlineStr">
        <is>
          <t>Not checked</t>
        </is>
      </c>
      <c r="N2" s="11" t="inlineStr">
        <is>
          <t>Not checked</t>
        </is>
      </c>
      <c r="O2" s="11" t="inlineStr">
        <is>
          <t>Not checked</t>
        </is>
      </c>
      <c r="P2" s="11" t="inlineStr">
        <is>
          <t>Not checked</t>
        </is>
      </c>
      <c r="Q2" s="11" t="inlineStr">
        <is>
          <t>Not checked</t>
        </is>
      </c>
      <c r="R2" s="14">
        <f>IF(C2="","",COUNTIF(L2:Q2,"Yes"))</f>
        <v/>
      </c>
      <c r="S2" s="11" t="n"/>
      <c r="T2" s="11" t="n"/>
      <c r="U2" s="11" t="n"/>
      <c r="V2" s="14">
        <f>IF(U2="Yes",IF(R2=6,"OK","Coverage gap"),"")</f>
        <v/>
      </c>
      <c r="W2" s="11" t="inlineStr">
        <is>
          <t>Instructor</t>
        </is>
      </c>
      <c r="X2" s="11" t="n"/>
      <c r="Y2" s="15" t="n"/>
      <c r="Z2" s="11" t="inlineStr">
        <is>
          <t>Country risk is not one of Julius Meinl's six dimensions; explain why you include it.</t>
        </is>
      </c>
    </row>
    <row r="3" ht="40" customHeight="1">
      <c r="A3" s="14">
        <f>IF(B3="","",UPPER(LEFT(B3,2))&amp;TEXT(COUNTIF(B$2:B3,B3),"00"))</f>
        <v/>
      </c>
      <c r="B3" s="11" t="inlineStr">
        <is>
          <t>Political</t>
        </is>
      </c>
      <c r="C3" s="11" t="inlineStr">
        <is>
          <t>Government effectiveness</t>
        </is>
      </c>
      <c r="D3" s="11" t="inlineStr">
        <is>
          <t>Quality of public services and of policy implementation</t>
        </is>
      </c>
      <c r="E3" s="11" t="inlineStr">
        <is>
          <t>Other (explain)</t>
        </is>
      </c>
      <c r="F3" s="11" t="inlineStr">
        <is>
          <t>Quantitative</t>
        </is>
      </c>
      <c r="G3" s="11" t="inlineStr">
        <is>
          <t>Estimate, about -2.5 to 2.5</t>
        </is>
      </c>
      <c r="H3" s="11" t="inlineStr">
        <is>
          <t>Higher is better</t>
        </is>
      </c>
      <c r="I3" s="11" t="inlineStr">
        <is>
          <t>Worldwide Governance Indicators, World Bank</t>
        </is>
      </c>
      <c r="J3" s="11" t="inlineStr">
        <is>
          <t>https://www.worldbank.org/en/publication/worldwide-governance-indicators</t>
        </is>
      </c>
      <c r="K3" s="15" t="n"/>
      <c r="L3" s="11" t="inlineStr">
        <is>
          <t>Not checked</t>
        </is>
      </c>
      <c r="M3" s="11" t="inlineStr">
        <is>
          <t>Not checked</t>
        </is>
      </c>
      <c r="N3" s="11" t="inlineStr">
        <is>
          <t>Not checked</t>
        </is>
      </c>
      <c r="O3" s="11" t="inlineStr">
        <is>
          <t>Not checked</t>
        </is>
      </c>
      <c r="P3" s="11" t="inlineStr">
        <is>
          <t>Not checked</t>
        </is>
      </c>
      <c r="Q3" s="11" t="inlineStr">
        <is>
          <t>Not checked</t>
        </is>
      </c>
      <c r="R3" s="14">
        <f>IF(C3="","",COUNTIF(L3:Q3,"Yes"))</f>
        <v/>
      </c>
      <c r="S3" s="11" t="n"/>
      <c r="T3" s="11" t="n"/>
      <c r="U3" s="11" t="n"/>
      <c r="V3" s="14">
        <f>IF(U3="Yes",IF(R3=6,"OK","Coverage gap"),"")</f>
        <v/>
      </c>
      <c r="W3" s="11" t="inlineStr">
        <is>
          <t>Instructor</t>
        </is>
      </c>
      <c r="X3" s="11" t="n"/>
      <c r="Y3" s="15" t="n"/>
      <c r="Z3" s="11" t="inlineStr"/>
    </row>
    <row r="4" ht="40" customHeight="1">
      <c r="A4" s="14">
        <f>IF(B4="","",UPPER(LEFT(B4,2))&amp;TEXT(COUNTIF(B$2:B4,B4),"00"))</f>
        <v/>
      </c>
      <c r="B4" s="11" t="inlineStr">
        <is>
          <t>Political</t>
        </is>
      </c>
      <c r="C4" s="11" t="inlineStr">
        <is>
          <t>Corruption Perceptions Index</t>
        </is>
      </c>
      <c r="D4" s="11" t="inlineStr">
        <is>
          <t>Perceived corruption in the public sector</t>
        </is>
      </c>
      <c r="E4" s="11" t="inlineStr">
        <is>
          <t>Other (explain)</t>
        </is>
      </c>
      <c r="F4" s="11" t="inlineStr">
        <is>
          <t>Quantitative</t>
        </is>
      </c>
      <c r="G4" s="11" t="inlineStr">
        <is>
          <t>Score 0 (highly corrupt) to 100 (very clean)</t>
        </is>
      </c>
      <c r="H4" s="11" t="inlineStr">
        <is>
          <t>Higher is better</t>
        </is>
      </c>
      <c r="I4" s="11" t="inlineStr">
        <is>
          <t>Transparency International</t>
        </is>
      </c>
      <c r="J4" s="11" t="inlineStr">
        <is>
          <t>https://www.transparency.org/en/cpi/2025</t>
        </is>
      </c>
      <c r="K4" s="15" t="n"/>
      <c r="L4" s="11" t="inlineStr">
        <is>
          <t>Not checked</t>
        </is>
      </c>
      <c r="M4" s="11" t="inlineStr">
        <is>
          <t>Not checked</t>
        </is>
      </c>
      <c r="N4" s="11" t="inlineStr">
        <is>
          <t>Not checked</t>
        </is>
      </c>
      <c r="O4" s="11" t="inlineStr">
        <is>
          <t>Not checked</t>
        </is>
      </c>
      <c r="P4" s="11" t="inlineStr">
        <is>
          <t>Not checked</t>
        </is>
      </c>
      <c r="Q4" s="11" t="inlineStr">
        <is>
          <t>Not checked</t>
        </is>
      </c>
      <c r="R4" s="14">
        <f>IF(C4="","",COUNTIF(L4:Q4,"Yes"))</f>
        <v/>
      </c>
      <c r="S4" s="11" t="n"/>
      <c r="T4" s="11" t="n"/>
      <c r="U4" s="11" t="n"/>
      <c r="V4" s="14">
        <f>IF(U4="Yes",IF(R4=6,"OK","Coverage gap"),"")</f>
        <v/>
      </c>
      <c r="W4" s="11" t="inlineStr">
        <is>
          <t>Instructor</t>
        </is>
      </c>
      <c r="X4" s="11" t="n"/>
      <c r="Y4" s="15" t="n"/>
      <c r="Z4" s="11" t="inlineStr">
        <is>
          <t>Link shows one edition; use the latest.</t>
        </is>
      </c>
    </row>
    <row r="5" ht="40" customHeight="1">
      <c r="A5" s="14">
        <f>IF(B5="","",UPPER(LEFT(B5,2))&amp;TEXT(COUNTIF(B$2:B5,B5),"00"))</f>
        <v/>
      </c>
      <c r="B5" s="11" t="inlineStr">
        <is>
          <t>Political</t>
        </is>
      </c>
      <c r="C5" s="11" t="inlineStr">
        <is>
          <t>Index of Economic Freedom, overall score</t>
        </is>
      </c>
      <c r="D5" s="11" t="inlineStr">
        <is>
          <t>Economic freedom in 12 areas, such as property rights and trade freedom</t>
        </is>
      </c>
      <c r="E5" s="11" t="inlineStr">
        <is>
          <t>Import and regulation</t>
        </is>
      </c>
      <c r="F5" s="11" t="inlineStr">
        <is>
          <t>Quantitative</t>
        </is>
      </c>
      <c r="G5" s="11" t="inlineStr">
        <is>
          <t>Score 0 to 100</t>
        </is>
      </c>
      <c r="H5" s="11" t="inlineStr">
        <is>
          <t>Higher is better</t>
        </is>
      </c>
      <c r="I5" s="11" t="inlineStr">
        <is>
          <t>The Heritage Foundation</t>
        </is>
      </c>
      <c r="J5" s="11" t="inlineStr">
        <is>
          <t>https://www.heritage.org/index/</t>
        </is>
      </c>
      <c r="K5" s="15" t="n"/>
      <c r="L5" s="11" t="inlineStr">
        <is>
          <t>Not checked</t>
        </is>
      </c>
      <c r="M5" s="11" t="inlineStr">
        <is>
          <t>Not checked</t>
        </is>
      </c>
      <c r="N5" s="11" t="inlineStr">
        <is>
          <t>Not checked</t>
        </is>
      </c>
      <c r="O5" s="11" t="inlineStr">
        <is>
          <t>Not checked</t>
        </is>
      </c>
      <c r="P5" s="11" t="inlineStr">
        <is>
          <t>Not checked</t>
        </is>
      </c>
      <c r="Q5" s="11" t="inlineStr">
        <is>
          <t>Not checked</t>
        </is>
      </c>
      <c r="R5" s="14">
        <f>IF(C5="","",COUNTIF(L5:Q5,"Yes"))</f>
        <v/>
      </c>
      <c r="S5" s="11" t="n"/>
      <c r="T5" s="11" t="n"/>
      <c r="U5" s="11" t="n"/>
      <c r="V5" s="14">
        <f>IF(U5="Yes",IF(R5=6,"OK","Coverage gap"),"")</f>
        <v/>
      </c>
      <c r="W5" s="11" t="inlineStr">
        <is>
          <t>Instructor</t>
        </is>
      </c>
      <c r="X5" s="11" t="n"/>
      <c r="Y5" s="15" t="n"/>
      <c r="Z5" s="11" t="inlineStr"/>
    </row>
    <row r="6" ht="40" customHeight="1">
      <c r="A6" s="14">
        <f>IF(B6="","",UPPER(LEFT(B6,2))&amp;TEXT(COUNTIF(B$2:B6,B6),"00"))</f>
        <v/>
      </c>
      <c r="B6" s="11" t="inlineStr">
        <is>
          <t>Political</t>
        </is>
      </c>
      <c r="C6" s="11" t="inlineStr">
        <is>
          <t>Trade agreement between the EU and the country</t>
        </is>
      </c>
      <c r="D6" s="11" t="inlineStr">
        <is>
          <t>Whether an agreement applies and what it means for duties and access</t>
        </is>
      </c>
      <c r="E6" s="11" t="inlineStr">
        <is>
          <t>Import and regulation</t>
        </is>
      </c>
      <c r="F6" s="11" t="inlineStr">
        <is>
          <t>Qualitative rubric</t>
        </is>
      </c>
      <c r="G6" s="11" t="inlineStr">
        <is>
          <t>Score 1 to 5</t>
        </is>
      </c>
      <c r="H6" s="11" t="inlineStr">
        <is>
          <t>Higher is better</t>
        </is>
      </c>
      <c r="I6" s="11" t="inlineStr">
        <is>
          <t>EU Access2Markets</t>
        </is>
      </c>
      <c r="J6" s="11" t="inlineStr">
        <is>
          <t>https://trade.ec.europa.eu/access-to-markets/en/content/what-access2markets-0</t>
        </is>
      </c>
      <c r="K6" s="15" t="n"/>
      <c r="L6" s="11" t="inlineStr">
        <is>
          <t>Not checked</t>
        </is>
      </c>
      <c r="M6" s="11" t="inlineStr">
        <is>
          <t>Not checked</t>
        </is>
      </c>
      <c r="N6" s="11" t="inlineStr">
        <is>
          <t>Not checked</t>
        </is>
      </c>
      <c r="O6" s="11" t="inlineStr">
        <is>
          <t>Not checked</t>
        </is>
      </c>
      <c r="P6" s="11" t="inlineStr">
        <is>
          <t>Not checked</t>
        </is>
      </c>
      <c r="Q6" s="11" t="inlineStr">
        <is>
          <t>Not checked</t>
        </is>
      </c>
      <c r="R6" s="14">
        <f>IF(C6="","",COUNTIF(L6:Q6,"Yes"))</f>
        <v/>
      </c>
      <c r="S6" s="11" t="n"/>
      <c r="T6" s="11" t="n"/>
      <c r="U6" s="11" t="n"/>
      <c r="V6" s="14">
        <f>IF(U6="Yes",IF(R6=6,"OK","Coverage gap"),"")</f>
        <v/>
      </c>
      <c r="W6" s="11" t="inlineStr">
        <is>
          <t>Instructor</t>
        </is>
      </c>
      <c r="X6" s="11" t="n"/>
      <c r="Y6" s="15" t="n"/>
      <c r="Z6" s="11" t="inlineStr">
        <is>
          <t>Look up the current status and record the date.</t>
        </is>
      </c>
    </row>
    <row r="7" ht="40" customHeight="1">
      <c r="A7" s="14">
        <f>IF(B7="","",UPPER(LEFT(B7,2))&amp;TEXT(COUNTIF(B$2:B7,B7),"00"))</f>
        <v/>
      </c>
      <c r="B7" s="11" t="inlineStr">
        <is>
          <t>Political</t>
        </is>
      </c>
      <c r="C7" s="11" t="inlineStr">
        <is>
          <t>Country risk rating</t>
        </is>
      </c>
      <c r="D7" s="11" t="inlineStr">
        <is>
          <t>Insurer's rating of the average probability of payment default</t>
        </is>
      </c>
      <c r="E7" s="11" t="inlineStr">
        <is>
          <t>Other (explain)</t>
        </is>
      </c>
      <c r="F7" s="11" t="inlineStr">
        <is>
          <t>Qualitative rubric</t>
        </is>
      </c>
      <c r="G7" s="11" t="inlineStr">
        <is>
          <t>Rating A1 to E</t>
        </is>
      </c>
      <c r="H7" s="11" t="inlineStr">
        <is>
          <t>Higher is better</t>
        </is>
      </c>
      <c r="I7" s="11" t="inlineStr">
        <is>
          <t>Coface country risk assessments</t>
        </is>
      </c>
      <c r="J7" s="11" t="inlineStr">
        <is>
          <t>https://www.coface.com/news-economy-and-insights/business-risk-dashboard/country-risk-files</t>
        </is>
      </c>
      <c r="K7" s="15" t="n"/>
      <c r="L7" s="11" t="inlineStr">
        <is>
          <t>Not checked</t>
        </is>
      </c>
      <c r="M7" s="11" t="inlineStr">
        <is>
          <t>Not checked</t>
        </is>
      </c>
      <c r="N7" s="11" t="inlineStr">
        <is>
          <t>Not checked</t>
        </is>
      </c>
      <c r="O7" s="11" t="inlineStr">
        <is>
          <t>Not checked</t>
        </is>
      </c>
      <c r="P7" s="11" t="inlineStr">
        <is>
          <t>Not checked</t>
        </is>
      </c>
      <c r="Q7" s="11" t="inlineStr">
        <is>
          <t>Not checked</t>
        </is>
      </c>
      <c r="R7" s="14">
        <f>IF(C7="","",COUNTIF(L7:Q7,"Yes"))</f>
        <v/>
      </c>
      <c r="S7" s="11" t="n"/>
      <c r="T7" s="11" t="n"/>
      <c r="U7" s="11" t="n"/>
      <c r="V7" s="14">
        <f>IF(U7="Yes",IF(R7=6,"OK","Coverage gap"),"")</f>
        <v/>
      </c>
      <c r="W7" s="11" t="inlineStr">
        <is>
          <t>Instructor</t>
        </is>
      </c>
      <c r="X7" s="11" t="n"/>
      <c r="Y7" s="15" t="n"/>
      <c r="Z7" s="11" t="inlineStr">
        <is>
          <t>Convert the rating to numbers and say how.</t>
        </is>
      </c>
    </row>
    <row r="8" ht="40" customHeight="1">
      <c r="A8" s="14">
        <f>IF(B8="","",UPPER(LEFT(B8,2))&amp;TEXT(COUNTIF(B$2:B8,B8),"00"))</f>
        <v/>
      </c>
      <c r="B8" s="11" t="inlineStr">
        <is>
          <t>Economic</t>
        </is>
      </c>
      <c r="C8" s="11" t="inlineStr">
        <is>
          <t>GDP per capita, PPP</t>
        </is>
      </c>
      <c r="D8" s="11" t="inlineStr">
        <is>
          <t>Output per person, adjusted for differences in price levels</t>
        </is>
      </c>
      <c r="E8" s="11" t="inlineStr">
        <is>
          <t>Purchasing power</t>
        </is>
      </c>
      <c r="F8" s="11" t="inlineStr">
        <is>
          <t>Quantitative</t>
        </is>
      </c>
      <c r="G8" s="11" t="inlineStr">
        <is>
          <t>International dollars, current</t>
        </is>
      </c>
      <c r="H8" s="11" t="inlineStr">
        <is>
          <t>Higher is better</t>
        </is>
      </c>
      <c r="I8" s="11" t="inlineStr">
        <is>
          <t>World Development Indicators, World Bank</t>
        </is>
      </c>
      <c r="J8" s="11" t="inlineStr">
        <is>
          <t>https://databank.worldbank.org/source/world-development-indicators</t>
        </is>
      </c>
      <c r="K8" s="15" t="n"/>
      <c r="L8" s="11" t="inlineStr">
        <is>
          <t>Not checked</t>
        </is>
      </c>
      <c r="M8" s="11" t="inlineStr">
        <is>
          <t>Not checked</t>
        </is>
      </c>
      <c r="N8" s="11" t="inlineStr">
        <is>
          <t>Not checked</t>
        </is>
      </c>
      <c r="O8" s="11" t="inlineStr">
        <is>
          <t>Not checked</t>
        </is>
      </c>
      <c r="P8" s="11" t="inlineStr">
        <is>
          <t>Not checked</t>
        </is>
      </c>
      <c r="Q8" s="11" t="inlineStr">
        <is>
          <t>Not checked</t>
        </is>
      </c>
      <c r="R8" s="14">
        <f>IF(C8="","",COUNTIF(L8:Q8,"Yes"))</f>
        <v/>
      </c>
      <c r="S8" s="11" t="n"/>
      <c r="T8" s="11" t="n"/>
      <c r="U8" s="11" t="n"/>
      <c r="V8" s="14">
        <f>IF(U8="Yes",IF(R8=6,"OK","Coverage gap"),"")</f>
        <v/>
      </c>
      <c r="W8" s="11" t="inlineStr">
        <is>
          <t>Instructor</t>
        </is>
      </c>
      <c r="X8" s="11" t="n"/>
      <c r="Y8" s="15" t="n"/>
      <c r="Z8" s="11" t="inlineStr"/>
    </row>
    <row r="9" ht="40" customHeight="1">
      <c r="A9" s="14">
        <f>IF(B9="","",UPPER(LEFT(B9,2))&amp;TEXT(COUNTIF(B$2:B9,B9),"00"))</f>
        <v/>
      </c>
      <c r="B9" s="11" t="inlineStr">
        <is>
          <t>Economic</t>
        </is>
      </c>
      <c r="C9" s="11" t="inlineStr">
        <is>
          <t>GDP growth, projected</t>
        </is>
      </c>
      <c r="D9" s="11" t="inlineStr">
        <is>
          <t>Expected real growth of the economy over the next years</t>
        </is>
      </c>
      <c r="E9" s="11" t="inlineStr">
        <is>
          <t>Other (explain)</t>
        </is>
      </c>
      <c r="F9" s="11" t="inlineStr">
        <is>
          <t>Quantitative</t>
        </is>
      </c>
      <c r="G9" s="11" t="inlineStr">
        <is>
          <t>% per year</t>
        </is>
      </c>
      <c r="H9" s="11" t="inlineStr">
        <is>
          <t>Higher is better</t>
        </is>
      </c>
      <c r="I9" s="11" t="inlineStr">
        <is>
          <t>World Economic Outlook, IMF</t>
        </is>
      </c>
      <c r="J9" s="11" t="inlineStr">
        <is>
          <t>https://data.imf.org/datasets/WEO</t>
        </is>
      </c>
      <c r="K9" s="15" t="n"/>
      <c r="L9" s="11" t="inlineStr">
        <is>
          <t>Not checked</t>
        </is>
      </c>
      <c r="M9" s="11" t="inlineStr">
        <is>
          <t>Not checked</t>
        </is>
      </c>
      <c r="N9" s="11" t="inlineStr">
        <is>
          <t>Not checked</t>
        </is>
      </c>
      <c r="O9" s="11" t="inlineStr">
        <is>
          <t>Not checked</t>
        </is>
      </c>
      <c r="P9" s="11" t="inlineStr">
        <is>
          <t>Not checked</t>
        </is>
      </c>
      <c r="Q9" s="11" t="inlineStr">
        <is>
          <t>Not checked</t>
        </is>
      </c>
      <c r="R9" s="14">
        <f>IF(C9="","",COUNTIF(L9:Q9,"Yes"))</f>
        <v/>
      </c>
      <c r="S9" s="11" t="n"/>
      <c r="T9" s="11" t="n"/>
      <c r="U9" s="11" t="n"/>
      <c r="V9" s="14">
        <f>IF(U9="Yes",IF(R9=6,"OK","Coverage gap"),"")</f>
        <v/>
      </c>
      <c r="W9" s="11" t="inlineStr">
        <is>
          <t>Instructor</t>
        </is>
      </c>
      <c r="X9" s="11" t="n"/>
      <c r="Y9" s="15" t="n"/>
      <c r="Z9" s="11" t="inlineStr">
        <is>
          <t>Compare projections with past growth.</t>
        </is>
      </c>
    </row>
    <row r="10" ht="40" customHeight="1">
      <c r="A10" s="14">
        <f>IF(B10="","",UPPER(LEFT(B10,2))&amp;TEXT(COUNTIF(B$2:B10,B10),"00"))</f>
        <v/>
      </c>
      <c r="B10" s="11" t="inlineStr">
        <is>
          <t>Economic</t>
        </is>
      </c>
      <c r="C10" s="11" t="inlineStr">
        <is>
          <t>Household final consumption expenditure per capita</t>
        </is>
      </c>
      <c r="D10" s="11" t="inlineStr">
        <is>
          <t>Average household spending per person</t>
        </is>
      </c>
      <c r="E10" s="11" t="inlineStr">
        <is>
          <t>Premium coffee segment</t>
        </is>
      </c>
      <c r="F10" s="11" t="inlineStr">
        <is>
          <t>Quantitative</t>
        </is>
      </c>
      <c r="G10" s="11" t="inlineStr">
        <is>
          <t>US dollars</t>
        </is>
      </c>
      <c r="H10" s="11" t="inlineStr">
        <is>
          <t>Higher is better</t>
        </is>
      </c>
      <c r="I10" s="11" t="inlineStr">
        <is>
          <t>World Development Indicators, World Bank</t>
        </is>
      </c>
      <c r="J10" s="11" t="inlineStr">
        <is>
          <t>https://databank.worldbank.org/source/world-development-indicators</t>
        </is>
      </c>
      <c r="K10" s="15" t="n"/>
      <c r="L10" s="11" t="inlineStr">
        <is>
          <t>Not checked</t>
        </is>
      </c>
      <c r="M10" s="11" t="inlineStr">
        <is>
          <t>Not checked</t>
        </is>
      </c>
      <c r="N10" s="11" t="inlineStr">
        <is>
          <t>Not checked</t>
        </is>
      </c>
      <c r="O10" s="11" t="inlineStr">
        <is>
          <t>Not checked</t>
        </is>
      </c>
      <c r="P10" s="11" t="inlineStr">
        <is>
          <t>Not checked</t>
        </is>
      </c>
      <c r="Q10" s="11" t="inlineStr">
        <is>
          <t>Not checked</t>
        </is>
      </c>
      <c r="R10" s="14">
        <f>IF(C10="","",COUNTIF(L10:Q10,"Yes"))</f>
        <v/>
      </c>
      <c r="S10" s="11" t="n"/>
      <c r="T10" s="11" t="n"/>
      <c r="U10" s="11" t="n"/>
      <c r="V10" s="14">
        <f>IF(U10="Yes",IF(R10=6,"OK","Coverage gap"),"")</f>
        <v/>
      </c>
      <c r="W10" s="11" t="inlineStr">
        <is>
          <t>Instructor</t>
        </is>
      </c>
      <c r="X10" s="11" t="n"/>
      <c r="Y10" s="15" t="n"/>
      <c r="Z10" s="11" t="inlineStr"/>
    </row>
    <row r="11" ht="40" customHeight="1">
      <c r="A11" s="14">
        <f>IF(B11="","",UPPER(LEFT(B11,2))&amp;TEXT(COUNTIF(B$2:B11,B11),"00"))</f>
        <v/>
      </c>
      <c r="B11" s="11" t="inlineStr">
        <is>
          <t>Economic</t>
        </is>
      </c>
      <c r="C11" s="11" t="inlineStr">
        <is>
          <t>Inflation, consumer prices</t>
        </is>
      </c>
      <c r="D11" s="11" t="inlineStr">
        <is>
          <t>Annual change in consumer prices</t>
        </is>
      </c>
      <c r="E11" s="11" t="inlineStr">
        <is>
          <t>Purchasing power</t>
        </is>
      </c>
      <c r="F11" s="11" t="inlineStr">
        <is>
          <t>Quantitative</t>
        </is>
      </c>
      <c r="G11" s="11" t="inlineStr">
        <is>
          <t>% per year</t>
        </is>
      </c>
      <c r="H11" s="11" t="inlineStr">
        <is>
          <t>Lower is better</t>
        </is>
      </c>
      <c r="I11" s="11" t="inlineStr">
        <is>
          <t>World Development Indicators, World Bank</t>
        </is>
      </c>
      <c r="J11" s="11" t="inlineStr">
        <is>
          <t>https://databank.worldbank.org/source/world-development-indicators</t>
        </is>
      </c>
      <c r="K11" s="15" t="n"/>
      <c r="L11" s="11" t="inlineStr">
        <is>
          <t>Not checked</t>
        </is>
      </c>
      <c r="M11" s="11" t="inlineStr">
        <is>
          <t>Not checked</t>
        </is>
      </c>
      <c r="N11" s="11" t="inlineStr">
        <is>
          <t>Not checked</t>
        </is>
      </c>
      <c r="O11" s="11" t="inlineStr">
        <is>
          <t>Not checked</t>
        </is>
      </c>
      <c r="P11" s="11" t="inlineStr">
        <is>
          <t>Not checked</t>
        </is>
      </c>
      <c r="Q11" s="11" t="inlineStr">
        <is>
          <t>Not checked</t>
        </is>
      </c>
      <c r="R11" s="14">
        <f>IF(C11="","",COUNTIF(L11:Q11,"Yes"))</f>
        <v/>
      </c>
      <c r="S11" s="11" t="n"/>
      <c r="T11" s="11" t="n"/>
      <c r="U11" s="11" t="n"/>
      <c r="V11" s="14">
        <f>IF(U11="Yes",IF(R11=6,"OK","Coverage gap"),"")</f>
        <v/>
      </c>
      <c r="W11" s="11" t="inlineStr">
        <is>
          <t>Instructor</t>
        </is>
      </c>
      <c r="X11" s="11" t="n"/>
      <c r="Y11" s="15" t="n"/>
      <c r="Z11" s="11" t="inlineStr">
        <is>
          <t>The IMF World Economic Outlook also has projections.</t>
        </is>
      </c>
    </row>
    <row r="12" ht="40" customHeight="1">
      <c r="A12" s="14">
        <f>IF(B12="","",UPPER(LEFT(B12,2))&amp;TEXT(COUNTIF(B$2:B12,B12),"00"))</f>
        <v/>
      </c>
      <c r="B12" s="11" t="inlineStr">
        <is>
          <t>Economic</t>
        </is>
      </c>
      <c r="C12" s="11" t="inlineStr">
        <is>
          <t>International tourism, receipts</t>
        </is>
      </c>
      <c r="D12" s="11" t="inlineStr">
        <is>
          <t>Spending by international visitors in the country</t>
        </is>
      </c>
      <c r="E12" s="11" t="inlineStr">
        <is>
          <t>Tourism and hotels</t>
        </is>
      </c>
      <c r="F12" s="11" t="inlineStr">
        <is>
          <t>Quantitative</t>
        </is>
      </c>
      <c r="G12" s="11" t="inlineStr">
        <is>
          <t>US dollars</t>
        </is>
      </c>
      <c r="H12" s="11" t="inlineStr">
        <is>
          <t>Higher is better</t>
        </is>
      </c>
      <c r="I12" s="11" t="inlineStr">
        <is>
          <t>World Development Indicators, World Bank</t>
        </is>
      </c>
      <c r="J12" s="11" t="inlineStr">
        <is>
          <t>https://databank.worldbank.org/source/world-development-indicators</t>
        </is>
      </c>
      <c r="K12" s="15" t="n"/>
      <c r="L12" s="11" t="inlineStr">
        <is>
          <t>Not checked</t>
        </is>
      </c>
      <c r="M12" s="11" t="inlineStr">
        <is>
          <t>Not checked</t>
        </is>
      </c>
      <c r="N12" s="11" t="inlineStr">
        <is>
          <t>Not checked</t>
        </is>
      </c>
      <c r="O12" s="11" t="inlineStr">
        <is>
          <t>Not checked</t>
        </is>
      </c>
      <c r="P12" s="11" t="inlineStr">
        <is>
          <t>Not checked</t>
        </is>
      </c>
      <c r="Q12" s="11" t="inlineStr">
        <is>
          <t>Not checked</t>
        </is>
      </c>
      <c r="R12" s="14">
        <f>IF(C12="","",COUNTIF(L12:Q12,"Yes"))</f>
        <v/>
      </c>
      <c r="S12" s="11" t="n"/>
      <c r="T12" s="11" t="n"/>
      <c r="U12" s="11" t="n"/>
      <c r="V12" s="14">
        <f>IF(U12="Yes",IF(R12=6,"OK","Coverage gap"),"")</f>
        <v/>
      </c>
      <c r="W12" s="11" t="inlineStr">
        <is>
          <t>Instructor</t>
        </is>
      </c>
      <c r="X12" s="11" t="n"/>
      <c r="Y12" s="15" t="n"/>
      <c r="Z12" s="11" t="inlineStr"/>
    </row>
    <row r="13" ht="40" customHeight="1">
      <c r="A13" s="14">
        <f>IF(B13="","",UPPER(LEFT(B13,2))&amp;TEXT(COUNTIF(B$2:B13,B13),"00"))</f>
        <v/>
      </c>
      <c r="B13" s="11" t="inlineStr">
        <is>
          <t>Economic</t>
        </is>
      </c>
      <c r="C13" s="11" t="inlineStr">
        <is>
          <t>Coffee imports (HS 0901), value and growth</t>
        </is>
      </c>
      <c r="D13" s="11" t="inlineStr">
        <is>
          <t>Value of coffee imports and how fast they grow</t>
        </is>
      </c>
      <c r="E13" s="11" t="inlineStr">
        <is>
          <t>Premium coffee segment</t>
        </is>
      </c>
      <c r="F13" s="11" t="inlineStr">
        <is>
          <t>Quantitative</t>
        </is>
      </c>
      <c r="G13" s="11" t="inlineStr">
        <is>
          <t>US dollars; % per year</t>
        </is>
      </c>
      <c r="H13" s="11" t="inlineStr">
        <is>
          <t>Higher is better</t>
        </is>
      </c>
      <c r="I13" s="11" t="inlineStr">
        <is>
          <t>ITC Trade Map</t>
        </is>
      </c>
      <c r="J13" s="11" t="inlineStr">
        <is>
          <t>https://www.trademap.org/</t>
        </is>
      </c>
      <c r="K13" s="15" t="n"/>
      <c r="L13" s="11" t="inlineStr">
        <is>
          <t>Not checked</t>
        </is>
      </c>
      <c r="M13" s="11" t="inlineStr">
        <is>
          <t>Not checked</t>
        </is>
      </c>
      <c r="N13" s="11" t="inlineStr">
        <is>
          <t>Not checked</t>
        </is>
      </c>
      <c r="O13" s="11" t="inlineStr">
        <is>
          <t>Not checked</t>
        </is>
      </c>
      <c r="P13" s="11" t="inlineStr">
        <is>
          <t>Not checked</t>
        </is>
      </c>
      <c r="Q13" s="11" t="inlineStr">
        <is>
          <t>Not checked</t>
        </is>
      </c>
      <c r="R13" s="14">
        <f>IF(C13="","",COUNTIF(L13:Q13,"Yes"))</f>
        <v/>
      </c>
      <c r="S13" s="11" t="n"/>
      <c r="T13" s="11" t="n"/>
      <c r="U13" s="11" t="n"/>
      <c r="V13" s="14">
        <f>IF(U13="Yes",IF(R13=6,"OK","Coverage gap"),"")</f>
        <v/>
      </c>
      <c r="W13" s="11" t="inlineStr">
        <is>
          <t>Instructor</t>
        </is>
      </c>
      <c r="X13" s="11" t="n"/>
      <c r="Y13" s="15" t="n"/>
      <c r="Z13" s="11" t="inlineStr">
        <is>
          <t>Check whether imports are large enough to be meaningful in coffee-producing countries.</t>
        </is>
      </c>
    </row>
    <row r="14" ht="40" customHeight="1">
      <c r="A14" s="14">
        <f>IF(B14="","",UPPER(LEFT(B14,2))&amp;TEXT(COUNTIF(B$2:B14,B14),"00"))</f>
        <v/>
      </c>
      <c r="B14" s="11" t="inlineStr">
        <is>
          <t>Economic</t>
        </is>
      </c>
      <c r="C14" s="11" t="inlineStr">
        <is>
          <t>Applied tariff on roasted coffee (HS 0901.21), EU origin</t>
        </is>
      </c>
      <c r="D14" s="11" t="inlineStr">
        <is>
          <t>Duty that Julius Meinl would pay at the border</t>
        </is>
      </c>
      <c r="E14" s="11" t="inlineStr">
        <is>
          <t>Import and regulation</t>
        </is>
      </c>
      <c r="F14" s="11" t="inlineStr">
        <is>
          <t>Quantitative</t>
        </is>
      </c>
      <c r="G14" s="11" t="inlineStr">
        <is>
          <t>%</t>
        </is>
      </c>
      <c r="H14" s="11" t="inlineStr">
        <is>
          <t>Lower is better</t>
        </is>
      </c>
      <c r="I14" s="11" t="inlineStr">
        <is>
          <t>EU Access2Markets; WTO tariff data</t>
        </is>
      </c>
      <c r="J14" s="11" t="inlineStr">
        <is>
          <t>https://trade.ec.europa.eu/access-to-markets/en/content/what-access2markets-0</t>
        </is>
      </c>
      <c r="K14" s="15" t="n"/>
      <c r="L14" s="11" t="inlineStr">
        <is>
          <t>Not checked</t>
        </is>
      </c>
      <c r="M14" s="11" t="inlineStr">
        <is>
          <t>Not checked</t>
        </is>
      </c>
      <c r="N14" s="11" t="inlineStr">
        <is>
          <t>Not checked</t>
        </is>
      </c>
      <c r="O14" s="11" t="inlineStr">
        <is>
          <t>Not checked</t>
        </is>
      </c>
      <c r="P14" s="11" t="inlineStr">
        <is>
          <t>Not checked</t>
        </is>
      </c>
      <c r="Q14" s="11" t="inlineStr">
        <is>
          <t>Not checked</t>
        </is>
      </c>
      <c r="R14" s="14">
        <f>IF(C14="","",COUNTIF(L14:Q14,"Yes"))</f>
        <v/>
      </c>
      <c r="S14" s="11" t="n"/>
      <c r="T14" s="11" t="n"/>
      <c r="U14" s="11" t="n"/>
      <c r="V14" s="14">
        <f>IF(U14="Yes",IF(R14=6,"OK","Coverage gap"),"")</f>
        <v/>
      </c>
      <c r="W14" s="11" t="inlineStr">
        <is>
          <t>Instructor</t>
        </is>
      </c>
      <c r="X14" s="11" t="n"/>
      <c r="Y14" s="15" t="n"/>
      <c r="Z14" s="11" t="inlineStr"/>
    </row>
    <row r="15" ht="40" customHeight="1">
      <c r="A15" s="14">
        <f>IF(B15="","",UPPER(LEFT(B15,2))&amp;TEXT(COUNTIF(B$2:B15,B15),"00"))</f>
        <v/>
      </c>
      <c r="B15" s="11" t="inlineStr">
        <is>
          <t>Social</t>
        </is>
      </c>
      <c r="C15" s="11" t="inlineStr">
        <is>
          <t>Coffee consumption per capita</t>
        </is>
      </c>
      <c r="D15" s="11" t="inlineStr">
        <is>
          <t>Domestic coffee consumption per person</t>
        </is>
      </c>
      <c r="E15" s="11" t="inlineStr">
        <is>
          <t>Coffee culture</t>
        </is>
      </c>
      <c r="F15" s="11" t="inlineStr">
        <is>
          <t>Quantitative</t>
        </is>
      </c>
      <c r="G15" s="11" t="inlineStr">
        <is>
          <t>Kilograms per person (check the unit in the source)</t>
        </is>
      </c>
      <c r="H15" s="11" t="inlineStr">
        <is>
          <t>Higher is better</t>
        </is>
      </c>
      <c r="I15" s="11" t="inlineStr">
        <is>
          <t>International Coffee Organization</t>
        </is>
      </c>
      <c r="J15" s="11" t="inlineStr">
        <is>
          <t>https://www.ico.org/</t>
        </is>
      </c>
      <c r="K15" s="15" t="n"/>
      <c r="L15" s="11" t="inlineStr">
        <is>
          <t>Not checked</t>
        </is>
      </c>
      <c r="M15" s="11" t="inlineStr">
        <is>
          <t>Not checked</t>
        </is>
      </c>
      <c r="N15" s="11" t="inlineStr">
        <is>
          <t>Not checked</t>
        </is>
      </c>
      <c r="O15" s="11" t="inlineStr">
        <is>
          <t>Not checked</t>
        </is>
      </c>
      <c r="P15" s="11" t="inlineStr">
        <is>
          <t>Not checked</t>
        </is>
      </c>
      <c r="Q15" s="11" t="inlineStr">
        <is>
          <t>Not checked</t>
        </is>
      </c>
      <c r="R15" s="14">
        <f>IF(C15="","",COUNTIF(L15:Q15,"Yes"))</f>
        <v/>
      </c>
      <c r="S15" s="11" t="n"/>
      <c r="T15" s="11" t="n"/>
      <c r="U15" s="11" t="n"/>
      <c r="V15" s="14">
        <f>IF(U15="Yes",IF(R15=6,"OK","Coverage gap"),"")</f>
        <v/>
      </c>
      <c r="W15" s="11" t="inlineStr">
        <is>
          <t>Instructor</t>
        </is>
      </c>
      <c r="X15" s="11" t="n"/>
      <c r="Y15" s="15" t="n"/>
      <c r="Z15" s="11" t="inlineStr">
        <is>
          <t>Not in the World Bank data; search the ICO statistics.</t>
        </is>
      </c>
    </row>
    <row r="16" ht="40" customHeight="1">
      <c r="A16" s="14">
        <f>IF(B16="","",UPPER(LEFT(B16,2))&amp;TEXT(COUNTIF(B$2:B16,B16),"00"))</f>
        <v/>
      </c>
      <c r="B16" s="11" t="inlineStr">
        <is>
          <t>Social</t>
        </is>
      </c>
      <c r="C16" s="11" t="inlineStr">
        <is>
          <t>Urban population share</t>
        </is>
      </c>
      <c r="D16" s="11" t="inlineStr">
        <is>
          <t>Share of the population that lives in cities</t>
        </is>
      </c>
      <c r="E16" s="11" t="inlineStr">
        <is>
          <t>Premium coffee segment</t>
        </is>
      </c>
      <c r="F16" s="11" t="inlineStr">
        <is>
          <t>Quantitative</t>
        </is>
      </c>
      <c r="G16" s="11" t="inlineStr">
        <is>
          <t>% of population</t>
        </is>
      </c>
      <c r="H16" s="11" t="inlineStr">
        <is>
          <t>Higher is better</t>
        </is>
      </c>
      <c r="I16" s="11" t="inlineStr">
        <is>
          <t>World Development Indicators, World Bank</t>
        </is>
      </c>
      <c r="J16" s="11" t="inlineStr">
        <is>
          <t>https://databank.worldbank.org/source/world-development-indicators</t>
        </is>
      </c>
      <c r="K16" s="15" t="n"/>
      <c r="L16" s="11" t="inlineStr">
        <is>
          <t>Not checked</t>
        </is>
      </c>
      <c r="M16" s="11" t="inlineStr">
        <is>
          <t>Not checked</t>
        </is>
      </c>
      <c r="N16" s="11" t="inlineStr">
        <is>
          <t>Not checked</t>
        </is>
      </c>
      <c r="O16" s="11" t="inlineStr">
        <is>
          <t>Not checked</t>
        </is>
      </c>
      <c r="P16" s="11" t="inlineStr">
        <is>
          <t>Not checked</t>
        </is>
      </c>
      <c r="Q16" s="11" t="inlineStr">
        <is>
          <t>Not checked</t>
        </is>
      </c>
      <c r="R16" s="14">
        <f>IF(C16="","",COUNTIF(L16:Q16,"Yes"))</f>
        <v/>
      </c>
      <c r="S16" s="11" t="n"/>
      <c r="T16" s="11" t="n"/>
      <c r="U16" s="11" t="n"/>
      <c r="V16" s="14">
        <f>IF(U16="Yes",IF(R16=6,"OK","Coverage gap"),"")</f>
        <v/>
      </c>
      <c r="W16" s="11" t="inlineStr">
        <is>
          <t>Instructor</t>
        </is>
      </c>
      <c r="X16" s="11" t="n"/>
      <c r="Y16" s="15" t="n"/>
      <c r="Z16" s="11" t="inlineStr"/>
    </row>
    <row r="17" ht="40" customHeight="1">
      <c r="A17" s="14">
        <f>IF(B17="","",UPPER(LEFT(B17,2))&amp;TEXT(COUNTIF(B$2:B17,B17),"00"))</f>
        <v/>
      </c>
      <c r="B17" s="11" t="inlineStr">
        <is>
          <t>Social</t>
        </is>
      </c>
      <c r="C17" s="11" t="inlineStr">
        <is>
          <t>Cultural distance from Austria</t>
        </is>
      </c>
      <c r="D17" s="11" t="inlineStr">
        <is>
          <t>Distance on Hofstede's six dimensions, for example as a Kogut-Singh index</t>
        </is>
      </c>
      <c r="E17" s="11" t="inlineStr">
        <is>
          <t>Other (explain)</t>
        </is>
      </c>
      <c r="F17" s="11" t="inlineStr">
        <is>
          <t>Quantitative</t>
        </is>
      </c>
      <c r="G17" s="11" t="inlineStr">
        <is>
          <t>Index, calculated by you</t>
        </is>
      </c>
      <c r="H17" s="11" t="inlineStr">
        <is>
          <t>Lower is better</t>
        </is>
      </c>
      <c r="I17" s="11" t="inlineStr">
        <is>
          <t>Hofstede dimension data matrix</t>
        </is>
      </c>
      <c r="J17" s="11" t="inlineStr">
        <is>
          <t>https://geerthofstede.com/research-and-vsm/dimension-data-matrix/</t>
        </is>
      </c>
      <c r="K17" s="15" t="n"/>
      <c r="L17" s="11" t="inlineStr">
        <is>
          <t>Not checked</t>
        </is>
      </c>
      <c r="M17" s="11" t="inlineStr">
        <is>
          <t>Not checked</t>
        </is>
      </c>
      <c r="N17" s="11" t="inlineStr">
        <is>
          <t>Not checked</t>
        </is>
      </c>
      <c r="O17" s="11" t="inlineStr">
        <is>
          <t>Not checked</t>
        </is>
      </c>
      <c r="P17" s="11" t="inlineStr">
        <is>
          <t>Not checked</t>
        </is>
      </c>
      <c r="Q17" s="11" t="inlineStr">
        <is>
          <t>Not checked</t>
        </is>
      </c>
      <c r="R17" s="14">
        <f>IF(C17="","",COUNTIF(L17:Q17,"Yes"))</f>
        <v/>
      </c>
      <c r="S17" s="11" t="n"/>
      <c r="T17" s="11" t="n"/>
      <c r="U17" s="11" t="n"/>
      <c r="V17" s="14">
        <f>IF(U17="Yes",IF(R17=6,"OK","Coverage gap"),"")</f>
        <v/>
      </c>
      <c r="W17" s="11" t="inlineStr">
        <is>
          <t>Instructor</t>
        </is>
      </c>
      <c r="X17" s="11" t="n"/>
      <c r="Y17" s="15" t="n"/>
      <c r="Z17" s="11" t="inlineStr">
        <is>
          <t>Calculate it yourselves and note the critique of the Hofstede approach.</t>
        </is>
      </c>
    </row>
    <row r="18" ht="40" customHeight="1">
      <c r="A18" s="14">
        <f>IF(B18="","",UPPER(LEFT(B18,2))&amp;TEXT(COUNTIF(B$2:B18,B18),"00"))</f>
        <v/>
      </c>
      <c r="B18" s="11" t="inlineStr">
        <is>
          <t>Social</t>
        </is>
      </c>
      <c r="C18" s="11" t="inlineStr">
        <is>
          <t>International tourist arrivals</t>
        </is>
      </c>
      <c r="D18" s="11" t="inlineStr">
        <is>
          <t>Number of international visitors per year</t>
        </is>
      </c>
      <c r="E18" s="11" t="inlineStr">
        <is>
          <t>Tourism and hotels</t>
        </is>
      </c>
      <c r="F18" s="11" t="inlineStr">
        <is>
          <t>Quantitative</t>
        </is>
      </c>
      <c r="G18" s="11" t="inlineStr">
        <is>
          <t>Number of arrivals</t>
        </is>
      </c>
      <c r="H18" s="11" t="inlineStr">
        <is>
          <t>Higher is better</t>
        </is>
      </c>
      <c r="I18" s="11" t="inlineStr">
        <is>
          <t>World Development Indicators, World Bank (UN Tourism data)</t>
        </is>
      </c>
      <c r="J18" s="11" t="inlineStr">
        <is>
          <t>https://databank.worldbank.org/source/world-development-indicators</t>
        </is>
      </c>
      <c r="K18" s="15" t="n"/>
      <c r="L18" s="11" t="inlineStr">
        <is>
          <t>Not checked</t>
        </is>
      </c>
      <c r="M18" s="11" t="inlineStr">
        <is>
          <t>Not checked</t>
        </is>
      </c>
      <c r="N18" s="11" t="inlineStr">
        <is>
          <t>Not checked</t>
        </is>
      </c>
      <c r="O18" s="11" t="inlineStr">
        <is>
          <t>Not checked</t>
        </is>
      </c>
      <c r="P18" s="11" t="inlineStr">
        <is>
          <t>Not checked</t>
        </is>
      </c>
      <c r="Q18" s="11" t="inlineStr">
        <is>
          <t>Not checked</t>
        </is>
      </c>
      <c r="R18" s="14">
        <f>IF(C18="","",COUNTIF(L18:Q18,"Yes"))</f>
        <v/>
      </c>
      <c r="S18" s="11" t="n"/>
      <c r="T18" s="11" t="n"/>
      <c r="U18" s="11" t="n"/>
      <c r="V18" s="14">
        <f>IF(U18="Yes",IF(R18=6,"OK","Coverage gap"),"")</f>
        <v/>
      </c>
      <c r="W18" s="11" t="inlineStr">
        <is>
          <t>Instructor</t>
        </is>
      </c>
      <c r="X18" s="11" t="n"/>
      <c r="Y18" s="15" t="n"/>
      <c r="Z18" s="11" t="inlineStr"/>
    </row>
    <row r="19" ht="40" customHeight="1">
      <c r="A19" s="14">
        <f>IF(B19="","",UPPER(LEFT(B19,2))&amp;TEXT(COUNTIF(B$2:B19,B19),"00"))</f>
        <v/>
      </c>
      <c r="B19" s="11" t="inlineStr">
        <is>
          <t>Social</t>
        </is>
      </c>
      <c r="C19" s="11" t="inlineStr">
        <is>
          <t>Share of visitors from Europe</t>
        </is>
      </c>
      <c r="D19" s="11" t="inlineStr">
        <is>
          <t>Share of international arrivals that come from Europe</t>
        </is>
      </c>
      <c r="E19" s="11" t="inlineStr">
        <is>
          <t>Tourism and hotels</t>
        </is>
      </c>
      <c r="F19" s="11" t="inlineStr">
        <is>
          <t>Quantitative</t>
        </is>
      </c>
      <c r="G19" s="11" t="inlineStr">
        <is>
          <t>% of arrivals</t>
        </is>
      </c>
      <c r="H19" s="11" t="inlineStr">
        <is>
          <t>Higher is better</t>
        </is>
      </c>
      <c r="I19" s="11" t="inlineStr">
        <is>
          <t>National tourism statistics</t>
        </is>
      </c>
      <c r="J19" s="11" t="inlineStr"/>
      <c r="K19" s="15" t="n"/>
      <c r="L19" s="11" t="inlineStr">
        <is>
          <t>Not checked</t>
        </is>
      </c>
      <c r="M19" s="11" t="inlineStr">
        <is>
          <t>Not checked</t>
        </is>
      </c>
      <c r="N19" s="11" t="inlineStr">
        <is>
          <t>Not checked</t>
        </is>
      </c>
      <c r="O19" s="11" t="inlineStr">
        <is>
          <t>Not checked</t>
        </is>
      </c>
      <c r="P19" s="11" t="inlineStr">
        <is>
          <t>Not checked</t>
        </is>
      </c>
      <c r="Q19" s="11" t="inlineStr">
        <is>
          <t>Not checked</t>
        </is>
      </c>
      <c r="R19" s="14">
        <f>IF(C19="","",COUNTIF(L19:Q19,"Yes"))</f>
        <v/>
      </c>
      <c r="S19" s="11" t="n"/>
      <c r="T19" s="11" t="n"/>
      <c r="U19" s="11" t="n"/>
      <c r="V19" s="14">
        <f>IF(U19="Yes",IF(R19=6,"OK","Coverage gap"),"")</f>
        <v/>
      </c>
      <c r="W19" s="11" t="inlineStr">
        <is>
          <t>Instructor</t>
        </is>
      </c>
      <c r="X19" s="11" t="n"/>
      <c r="Y19" s="15" t="n"/>
      <c r="Z19" s="11" t="inlineStr">
        <is>
          <t>Find the national source; it may exist for only some countries.</t>
        </is>
      </c>
    </row>
    <row r="20" ht="40" customHeight="1">
      <c r="A20" s="14">
        <f>IF(B20="","",UPPER(LEFT(B20,2))&amp;TEXT(COUNTIF(B$2:B20,B20),"00"))</f>
        <v/>
      </c>
      <c r="B20" s="11" t="inlineStr">
        <is>
          <t>Social</t>
        </is>
      </c>
      <c r="C20" s="11" t="inlineStr">
        <is>
          <t>Café culture</t>
        </is>
      </c>
      <c r="D20" s="11" t="inlineStr">
        <is>
          <t>Importance of cafés and coffee-house tradition in everyday life</t>
        </is>
      </c>
      <c r="E20" s="11" t="inlineStr">
        <is>
          <t>Coffee culture</t>
        </is>
      </c>
      <c r="F20" s="11" t="inlineStr">
        <is>
          <t>Qualitative rubric</t>
        </is>
      </c>
      <c r="G20" s="11" t="inlineStr">
        <is>
          <t>Score 1 to 5</t>
        </is>
      </c>
      <c r="H20" s="11" t="inlineStr">
        <is>
          <t>Higher is better</t>
        </is>
      </c>
      <c r="I20" s="11" t="inlineStr">
        <is>
          <t>Own assessment (industry reports, travel guides)</t>
        </is>
      </c>
      <c r="J20" s="11" t="inlineStr"/>
      <c r="K20" s="15" t="n"/>
      <c r="L20" s="11" t="inlineStr">
        <is>
          <t>Not checked</t>
        </is>
      </c>
      <c r="M20" s="11" t="inlineStr">
        <is>
          <t>Not checked</t>
        </is>
      </c>
      <c r="N20" s="11" t="inlineStr">
        <is>
          <t>Not checked</t>
        </is>
      </c>
      <c r="O20" s="11" t="inlineStr">
        <is>
          <t>Not checked</t>
        </is>
      </c>
      <c r="P20" s="11" t="inlineStr">
        <is>
          <t>Not checked</t>
        </is>
      </c>
      <c r="Q20" s="11" t="inlineStr">
        <is>
          <t>Not checked</t>
        </is>
      </c>
      <c r="R20" s="14">
        <f>IF(C20="","",COUNTIF(L20:Q20,"Yes"))</f>
        <v/>
      </c>
      <c r="S20" s="11" t="n"/>
      <c r="T20" s="11" t="n"/>
      <c r="U20" s="11" t="n"/>
      <c r="V20" s="14">
        <f>IF(U20="Yes",IF(R20=6,"OK","Coverage gap"),"")</f>
        <v/>
      </c>
      <c r="W20" s="11" t="inlineStr">
        <is>
          <t>Instructor</t>
        </is>
      </c>
      <c r="X20" s="11" t="n"/>
      <c r="Y20" s="15" t="n"/>
      <c r="Z20" s="11" t="inlineStr">
        <is>
          <t>Define each score and let two team members rate independently.</t>
        </is>
      </c>
    </row>
    <row r="21" ht="40" customHeight="1">
      <c r="A21" s="14">
        <f>IF(B21="","",UPPER(LEFT(B21,2))&amp;TEXT(COUNTIF(B$2:B21,B21),"00"))</f>
        <v/>
      </c>
      <c r="B21" s="11" t="inlineStr">
        <is>
          <t>Social</t>
        </is>
      </c>
      <c r="C21" s="11" t="inlineStr">
        <is>
          <t>European influence on coffee culture</t>
        </is>
      </c>
      <c r="D21" s="11" t="inlineStr">
        <is>
          <t>Presence of a European café tradition, for example through migration history</t>
        </is>
      </c>
      <c r="E21" s="11" t="inlineStr">
        <is>
          <t>Coffee culture</t>
        </is>
      </c>
      <c r="F21" s="11" t="inlineStr">
        <is>
          <t>Qualitative rubric</t>
        </is>
      </c>
      <c r="G21" s="11" t="inlineStr">
        <is>
          <t>Score 1 to 5</t>
        </is>
      </c>
      <c r="H21" s="11" t="inlineStr">
        <is>
          <t>Higher is better</t>
        </is>
      </c>
      <c r="I21" s="11" t="inlineStr">
        <is>
          <t>Own assessment (industry reports, history sources)</t>
        </is>
      </c>
      <c r="J21" s="11" t="inlineStr"/>
      <c r="K21" s="15" t="n"/>
      <c r="L21" s="11" t="inlineStr">
        <is>
          <t>Not checked</t>
        </is>
      </c>
      <c r="M21" s="11" t="inlineStr">
        <is>
          <t>Not checked</t>
        </is>
      </c>
      <c r="N21" s="11" t="inlineStr">
        <is>
          <t>Not checked</t>
        </is>
      </c>
      <c r="O21" s="11" t="inlineStr">
        <is>
          <t>Not checked</t>
        </is>
      </c>
      <c r="P21" s="11" t="inlineStr">
        <is>
          <t>Not checked</t>
        </is>
      </c>
      <c r="Q21" s="11" t="inlineStr">
        <is>
          <t>Not checked</t>
        </is>
      </c>
      <c r="R21" s="14">
        <f>IF(C21="","",COUNTIF(L21:Q21,"Yes"))</f>
        <v/>
      </c>
      <c r="S21" s="11" t="n"/>
      <c r="T21" s="11" t="n"/>
      <c r="U21" s="11" t="n"/>
      <c r="V21" s="14">
        <f>IF(U21="Yes",IF(R21=6,"OK","Coverage gap"),"")</f>
        <v/>
      </c>
      <c r="W21" s="11" t="inlineStr">
        <is>
          <t>Instructor</t>
        </is>
      </c>
      <c r="X21" s="11" t="n"/>
      <c r="Y21" s="15" t="n"/>
      <c r="Z21" s="11" t="inlineStr">
        <is>
          <t>Julius Meinl assumes this matters. The assumption is unverified.</t>
        </is>
      </c>
    </row>
    <row r="22" ht="40" customHeight="1">
      <c r="A22" s="14">
        <f>IF(B22="","",UPPER(LEFT(B22,2))&amp;TEXT(COUNTIF(B$2:B22,B22),"00"))</f>
        <v/>
      </c>
      <c r="B22" s="11" t="inlineStr">
        <is>
          <t>Technological</t>
        </is>
      </c>
      <c r="C22" s="11" t="inlineStr">
        <is>
          <t>Individuals using the Internet</t>
        </is>
      </c>
      <c r="D22" s="11" t="inlineStr">
        <is>
          <t>Share of the population that is online</t>
        </is>
      </c>
      <c r="E22" s="11" t="inlineStr">
        <is>
          <t>Other (explain)</t>
        </is>
      </c>
      <c r="F22" s="11" t="inlineStr">
        <is>
          <t>Quantitative</t>
        </is>
      </c>
      <c r="G22" s="11" t="inlineStr">
        <is>
          <t>% of population</t>
        </is>
      </c>
      <c r="H22" s="11" t="inlineStr">
        <is>
          <t>Higher is better</t>
        </is>
      </c>
      <c r="I22" s="11" t="inlineStr">
        <is>
          <t>World Development Indicators, World Bank</t>
        </is>
      </c>
      <c r="J22" s="11" t="inlineStr">
        <is>
          <t>https://databank.worldbank.org/source/world-development-indicators</t>
        </is>
      </c>
      <c r="K22" s="15" t="n"/>
      <c r="L22" s="11" t="inlineStr">
        <is>
          <t>Not checked</t>
        </is>
      </c>
      <c r="M22" s="11" t="inlineStr">
        <is>
          <t>Not checked</t>
        </is>
      </c>
      <c r="N22" s="11" t="inlineStr">
        <is>
          <t>Not checked</t>
        </is>
      </c>
      <c r="O22" s="11" t="inlineStr">
        <is>
          <t>Not checked</t>
        </is>
      </c>
      <c r="P22" s="11" t="inlineStr">
        <is>
          <t>Not checked</t>
        </is>
      </c>
      <c r="Q22" s="11" t="inlineStr">
        <is>
          <t>Not checked</t>
        </is>
      </c>
      <c r="R22" s="14">
        <f>IF(C22="","",COUNTIF(L22:Q22,"Yes"))</f>
        <v/>
      </c>
      <c r="S22" s="11" t="n"/>
      <c r="T22" s="11" t="n"/>
      <c r="U22" s="11" t="n"/>
      <c r="V22" s="14">
        <f>IF(U22="Yes",IF(R22=6,"OK","Coverage gap"),"")</f>
        <v/>
      </c>
      <c r="W22" s="11" t="inlineStr">
        <is>
          <t>Instructor</t>
        </is>
      </c>
      <c r="X22" s="11" t="n"/>
      <c r="Y22" s="15" t="n"/>
      <c r="Z22" s="11" t="inlineStr"/>
    </row>
    <row r="23" ht="40" customHeight="1">
      <c r="A23" s="14">
        <f>IF(B23="","",UPPER(LEFT(B23,2))&amp;TEXT(COUNTIF(B$2:B23,B23),"00"))</f>
        <v/>
      </c>
      <c r="B23" s="11" t="inlineStr">
        <is>
          <t>Technological</t>
        </is>
      </c>
      <c r="C23" s="11" t="inlineStr">
        <is>
          <t>Logistics Performance Index</t>
        </is>
      </c>
      <c r="D23" s="11" t="inlineStr">
        <is>
          <t>Customs, infrastructure, shipments, competence, tracking and timeliness</t>
        </is>
      </c>
      <c r="E23" s="11" t="inlineStr">
        <is>
          <t>Import and regulation</t>
        </is>
      </c>
      <c r="F23" s="11" t="inlineStr">
        <is>
          <t>Quantitative</t>
        </is>
      </c>
      <c r="G23" s="11" t="inlineStr">
        <is>
          <t>Score 1 to 5</t>
        </is>
      </c>
      <c r="H23" s="11" t="inlineStr">
        <is>
          <t>Higher is better</t>
        </is>
      </c>
      <c r="I23" s="11" t="inlineStr">
        <is>
          <t>Logistics Performance Index, World Bank</t>
        </is>
      </c>
      <c r="J23" s="11" t="inlineStr">
        <is>
          <t>https://lpi.worldbank.org/</t>
        </is>
      </c>
      <c r="K23" s="15" t="n"/>
      <c r="L23" s="11" t="inlineStr">
        <is>
          <t>Not checked</t>
        </is>
      </c>
      <c r="M23" s="11" t="inlineStr">
        <is>
          <t>Not checked</t>
        </is>
      </c>
      <c r="N23" s="11" t="inlineStr">
        <is>
          <t>Not checked</t>
        </is>
      </c>
      <c r="O23" s="11" t="inlineStr">
        <is>
          <t>Not checked</t>
        </is>
      </c>
      <c r="P23" s="11" t="inlineStr">
        <is>
          <t>Not checked</t>
        </is>
      </c>
      <c r="Q23" s="11" t="inlineStr">
        <is>
          <t>Not checked</t>
        </is>
      </c>
      <c r="R23" s="14">
        <f>IF(C23="","",COUNTIF(L23:Q23,"Yes"))</f>
        <v/>
      </c>
      <c r="S23" s="11" t="n"/>
      <c r="T23" s="11" t="n"/>
      <c r="U23" s="11" t="n"/>
      <c r="V23" s="14">
        <f>IF(U23="Yes",IF(R23=6,"OK","Coverage gap"),"")</f>
        <v/>
      </c>
      <c r="W23" s="11" t="inlineStr">
        <is>
          <t>Instructor</t>
        </is>
      </c>
      <c r="X23" s="11" t="n"/>
      <c r="Y23" s="15" t="n"/>
      <c r="Z23" s="11" t="inlineStr">
        <is>
          <t>The survey-based index ends with the 2023 edition.</t>
        </is>
      </c>
    </row>
    <row r="24" ht="40" customHeight="1">
      <c r="A24" s="14">
        <f>IF(B24="","",UPPER(LEFT(B24,2))&amp;TEXT(COUNTIF(B$2:B24,B24),"00"))</f>
        <v/>
      </c>
      <c r="B24" s="11" t="inlineStr">
        <is>
          <t>Technological</t>
        </is>
      </c>
      <c r="C24" s="11" t="inlineStr">
        <is>
          <t>Global Innovation Index</t>
        </is>
      </c>
      <c r="D24" s="11" t="inlineStr">
        <is>
          <t>Innovation capability, seven pillars</t>
        </is>
      </c>
      <c r="E24" s="11" t="inlineStr">
        <is>
          <t>Other (explain)</t>
        </is>
      </c>
      <c r="F24" s="11" t="inlineStr">
        <is>
          <t>Quantitative</t>
        </is>
      </c>
      <c r="G24" s="11" t="inlineStr">
        <is>
          <t>Score 0 to 100</t>
        </is>
      </c>
      <c r="H24" s="11" t="inlineStr">
        <is>
          <t>Higher is better</t>
        </is>
      </c>
      <c r="I24" s="11" t="inlineStr">
        <is>
          <t>WIPO</t>
        </is>
      </c>
      <c r="J24" s="11" t="inlineStr">
        <is>
          <t>https://www.wipo.int/web/global-innovation-index</t>
        </is>
      </c>
      <c r="K24" s="15" t="n"/>
      <c r="L24" s="11" t="inlineStr">
        <is>
          <t>Not checked</t>
        </is>
      </c>
      <c r="M24" s="11" t="inlineStr">
        <is>
          <t>Not checked</t>
        </is>
      </c>
      <c r="N24" s="11" t="inlineStr">
        <is>
          <t>Not checked</t>
        </is>
      </c>
      <c r="O24" s="11" t="inlineStr">
        <is>
          <t>Not checked</t>
        </is>
      </c>
      <c r="P24" s="11" t="inlineStr">
        <is>
          <t>Not checked</t>
        </is>
      </c>
      <c r="Q24" s="11" t="inlineStr">
        <is>
          <t>Not checked</t>
        </is>
      </c>
      <c r="R24" s="14">
        <f>IF(C24="","",COUNTIF(L24:Q24,"Yes"))</f>
        <v/>
      </c>
      <c r="S24" s="11" t="n"/>
      <c r="T24" s="11" t="n"/>
      <c r="U24" s="11" t="n"/>
      <c r="V24" s="14">
        <f>IF(U24="Yes",IF(R24=6,"OK","Coverage gap"),"")</f>
        <v/>
      </c>
      <c r="W24" s="11" t="inlineStr">
        <is>
          <t>Instructor</t>
        </is>
      </c>
      <c r="X24" s="11" t="n"/>
      <c r="Y24" s="15" t="n"/>
      <c r="Z24" s="11" t="inlineStr"/>
    </row>
    <row r="25" ht="40" customHeight="1">
      <c r="A25" s="14">
        <f>IF(B25="","",UPPER(LEFT(B25,2))&amp;TEXT(COUNTIF(B$2:B25,B25),"00"))</f>
        <v/>
      </c>
      <c r="B25" s="11" t="inlineStr">
        <is>
          <t>Technological</t>
        </is>
      </c>
      <c r="C25" s="11" t="inlineStr">
        <is>
          <t>Online retail and food delivery share</t>
        </is>
      </c>
      <c r="D25" s="11" t="inlineStr">
        <is>
          <t>Share of grocery or coffee sales that is made online</t>
        </is>
      </c>
      <c r="E25" s="11" t="inlineStr">
        <is>
          <t>Premium coffee segment</t>
        </is>
      </c>
      <c r="F25" s="11" t="inlineStr">
        <is>
          <t>Quantitative</t>
        </is>
      </c>
      <c r="G25" s="11" t="inlineStr">
        <is>
          <t>% of sales</t>
        </is>
      </c>
      <c r="H25" s="11" t="inlineStr">
        <is>
          <t>Higher is better</t>
        </is>
      </c>
      <c r="I25" s="11" t="inlineStr">
        <is>
          <t>Euromonitor Passport (WU library)</t>
        </is>
      </c>
      <c r="J25" s="11" t="inlineStr">
        <is>
          <t>https://www.euromonitor.com/our-expertise/passport</t>
        </is>
      </c>
      <c r="K25" s="15" t="n"/>
      <c r="L25" s="11" t="inlineStr">
        <is>
          <t>Not checked</t>
        </is>
      </c>
      <c r="M25" s="11" t="inlineStr">
        <is>
          <t>Not checked</t>
        </is>
      </c>
      <c r="N25" s="11" t="inlineStr">
        <is>
          <t>Not checked</t>
        </is>
      </c>
      <c r="O25" s="11" t="inlineStr">
        <is>
          <t>Not checked</t>
        </is>
      </c>
      <c r="P25" s="11" t="inlineStr">
        <is>
          <t>Not checked</t>
        </is>
      </c>
      <c r="Q25" s="11" t="inlineStr">
        <is>
          <t>Not checked</t>
        </is>
      </c>
      <c r="R25" s="14">
        <f>IF(C25="","",COUNTIF(L25:Q25,"Yes"))</f>
        <v/>
      </c>
      <c r="S25" s="11" t="n"/>
      <c r="T25" s="11" t="n"/>
      <c r="U25" s="11" t="n"/>
      <c r="V25" s="14">
        <f>IF(U25="Yes",IF(R25=6,"OK","Coverage gap"),"")</f>
        <v/>
      </c>
      <c r="W25" s="11" t="inlineStr">
        <is>
          <t>Instructor</t>
        </is>
      </c>
      <c r="X25" s="11" t="n"/>
      <c r="Y25" s="15" t="n"/>
      <c r="Z25" s="11" t="inlineStr">
        <is>
          <t>Check whether your category is available.</t>
        </is>
      </c>
    </row>
    <row r="26" ht="40" customHeight="1">
      <c r="A26" s="14">
        <f>IF(B26="","",UPPER(LEFT(B26,2))&amp;TEXT(COUNTIF(B$2:B26,B26),"00"))</f>
        <v/>
      </c>
      <c r="B26" s="11" t="inlineStr">
        <is>
          <t>Technological</t>
        </is>
      </c>
      <c r="C26" s="11" t="inlineStr">
        <is>
          <t>Account ownership, adults</t>
        </is>
      </c>
      <c r="D26" s="11" t="inlineStr">
        <is>
          <t>Share of adults with a bank or mobile money account</t>
        </is>
      </c>
      <c r="E26" s="11" t="inlineStr">
        <is>
          <t>Other (explain)</t>
        </is>
      </c>
      <c r="F26" s="11" t="inlineStr">
        <is>
          <t>Quantitative</t>
        </is>
      </c>
      <c r="G26" s="11" t="inlineStr">
        <is>
          <t>% of adults</t>
        </is>
      </c>
      <c r="H26" s="11" t="inlineStr">
        <is>
          <t>Higher is better</t>
        </is>
      </c>
      <c r="I26" s="11" t="inlineStr">
        <is>
          <t>Global Findex, World Bank</t>
        </is>
      </c>
      <c r="J26" s="11" t="inlineStr">
        <is>
          <t>https://www.worldbank.org/en/publication/globalfindex</t>
        </is>
      </c>
      <c r="K26" s="15" t="n"/>
      <c r="L26" s="11" t="inlineStr">
        <is>
          <t>Not checked</t>
        </is>
      </c>
      <c r="M26" s="11" t="inlineStr">
        <is>
          <t>Not checked</t>
        </is>
      </c>
      <c r="N26" s="11" t="inlineStr">
        <is>
          <t>Not checked</t>
        </is>
      </c>
      <c r="O26" s="11" t="inlineStr">
        <is>
          <t>Not checked</t>
        </is>
      </c>
      <c r="P26" s="11" t="inlineStr">
        <is>
          <t>Not checked</t>
        </is>
      </c>
      <c r="Q26" s="11" t="inlineStr">
        <is>
          <t>Not checked</t>
        </is>
      </c>
      <c r="R26" s="14">
        <f>IF(C26="","",COUNTIF(L26:Q26,"Yes"))</f>
        <v/>
      </c>
      <c r="S26" s="11" t="n"/>
      <c r="T26" s="11" t="n"/>
      <c r="U26" s="11" t="n"/>
      <c r="V26" s="14">
        <f>IF(U26="Yes",IF(R26=6,"OK","Coverage gap"),"")</f>
        <v/>
      </c>
      <c r="W26" s="11" t="inlineStr">
        <is>
          <t>Instructor</t>
        </is>
      </c>
      <c r="X26" s="11" t="n"/>
      <c r="Y26" s="15" t="n"/>
      <c r="Z26" s="11" t="inlineStr">
        <is>
          <t>Not in the instructor's background collection: check coverage and the latest edition.</t>
        </is>
      </c>
    </row>
    <row r="27" ht="40" customHeight="1">
      <c r="A27" s="14">
        <f>IF(B27="","",UPPER(LEFT(B27,2))&amp;TEXT(COUNTIF(B$2:B27,B27),"00"))</f>
        <v/>
      </c>
      <c r="B27" s="11" t="inlineStr">
        <is>
          <t>Environmental</t>
        </is>
      </c>
      <c r="C27" s="11" t="inlineStr">
        <is>
          <t>Climate vulnerability and readiness</t>
        </is>
      </c>
      <c r="D27" s="11" t="inlineStr">
        <is>
          <t>Exposure to climate change and readiness to adapt</t>
        </is>
      </c>
      <c r="E27" s="11" t="inlineStr">
        <is>
          <t>Other (explain)</t>
        </is>
      </c>
      <c r="F27" s="11" t="inlineStr">
        <is>
          <t>Quantitative</t>
        </is>
      </c>
      <c r="G27" s="11" t="inlineStr">
        <is>
          <t>Score 0 to 100</t>
        </is>
      </c>
      <c r="H27" s="11" t="inlineStr">
        <is>
          <t>Higher is better</t>
        </is>
      </c>
      <c r="I27" s="11" t="inlineStr">
        <is>
          <t>ND-GAIN Country Index</t>
        </is>
      </c>
      <c r="J27" s="11" t="inlineStr">
        <is>
          <t>https://gain.nd.edu/our-work/country-index/download-data/</t>
        </is>
      </c>
      <c r="K27" s="15" t="n"/>
      <c r="L27" s="11" t="inlineStr">
        <is>
          <t>Not checked</t>
        </is>
      </c>
      <c r="M27" s="11" t="inlineStr">
        <is>
          <t>Not checked</t>
        </is>
      </c>
      <c r="N27" s="11" t="inlineStr">
        <is>
          <t>Not checked</t>
        </is>
      </c>
      <c r="O27" s="11" t="inlineStr">
        <is>
          <t>Not checked</t>
        </is>
      </c>
      <c r="P27" s="11" t="inlineStr">
        <is>
          <t>Not checked</t>
        </is>
      </c>
      <c r="Q27" s="11" t="inlineStr">
        <is>
          <t>Not checked</t>
        </is>
      </c>
      <c r="R27" s="14">
        <f>IF(C27="","",COUNTIF(L27:Q27,"Yes"))</f>
        <v/>
      </c>
      <c r="S27" s="11" t="n"/>
      <c r="T27" s="11" t="n"/>
      <c r="U27" s="11" t="n"/>
      <c r="V27" s="14">
        <f>IF(U27="Yes",IF(R27=6,"OK","Coverage gap"),"")</f>
        <v/>
      </c>
      <c r="W27" s="11" t="inlineStr">
        <is>
          <t>Instructor</t>
        </is>
      </c>
      <c r="X27" s="11" t="n"/>
      <c r="Y27" s="15" t="n"/>
      <c r="Z27" s="11" t="inlineStr"/>
    </row>
    <row r="28" ht="40" customHeight="1">
      <c r="A28" s="14">
        <f>IF(B28="","",UPPER(LEFT(B28,2))&amp;TEXT(COUNTIF(B$2:B28,B28),"00"))</f>
        <v/>
      </c>
      <c r="B28" s="11" t="inlineStr">
        <is>
          <t>Environmental</t>
        </is>
      </c>
      <c r="C28" s="11" t="inlineStr">
        <is>
          <t>Environmental Performance Index</t>
        </is>
      </c>
      <c r="D28" s="11" t="inlineStr">
        <is>
          <t>Performance on environmental health and ecosystem vitality</t>
        </is>
      </c>
      <c r="E28" s="11" t="inlineStr">
        <is>
          <t>Other (explain)</t>
        </is>
      </c>
      <c r="F28" s="11" t="inlineStr">
        <is>
          <t>Quantitative</t>
        </is>
      </c>
      <c r="G28" s="11" t="inlineStr">
        <is>
          <t>Score 0 to 100</t>
        </is>
      </c>
      <c r="H28" s="11" t="inlineStr">
        <is>
          <t>Higher is better</t>
        </is>
      </c>
      <c r="I28" s="11" t="inlineStr">
        <is>
          <t>Yale Environmental Performance Index</t>
        </is>
      </c>
      <c r="J28" s="11" t="inlineStr">
        <is>
          <t>https://epi.yale.edu/</t>
        </is>
      </c>
      <c r="K28" s="15" t="n"/>
      <c r="L28" s="11" t="inlineStr">
        <is>
          <t>Not checked</t>
        </is>
      </c>
      <c r="M28" s="11" t="inlineStr">
        <is>
          <t>Not checked</t>
        </is>
      </c>
      <c r="N28" s="11" t="inlineStr">
        <is>
          <t>Not checked</t>
        </is>
      </c>
      <c r="O28" s="11" t="inlineStr">
        <is>
          <t>Not checked</t>
        </is>
      </c>
      <c r="P28" s="11" t="inlineStr">
        <is>
          <t>Not checked</t>
        </is>
      </c>
      <c r="Q28" s="11" t="inlineStr">
        <is>
          <t>Not checked</t>
        </is>
      </c>
      <c r="R28" s="14">
        <f>IF(C28="","",COUNTIF(L28:Q28,"Yes"))</f>
        <v/>
      </c>
      <c r="S28" s="11" t="n"/>
      <c r="T28" s="11" t="n"/>
      <c r="U28" s="11" t="n"/>
      <c r="V28" s="14">
        <f>IF(U28="Yes",IF(R28=6,"OK","Coverage gap"),"")</f>
        <v/>
      </c>
      <c r="W28" s="11" t="inlineStr">
        <is>
          <t>Instructor</t>
        </is>
      </c>
      <c r="X28" s="11" t="n"/>
      <c r="Y28" s="15" t="n"/>
      <c r="Z28" s="11" t="inlineStr">
        <is>
          <t>Not in the instructor's background collection: check coverage and the latest edition.</t>
        </is>
      </c>
    </row>
    <row r="29" ht="40" customHeight="1">
      <c r="A29" s="14">
        <f>IF(B29="","",UPPER(LEFT(B29,2))&amp;TEXT(COUNTIF(B$2:B29,B29),"00"))</f>
        <v/>
      </c>
      <c r="B29" s="11" t="inlineStr">
        <is>
          <t>Environmental</t>
        </is>
      </c>
      <c r="C29" s="11" t="inlineStr">
        <is>
          <t>Demand for certified and sustainable coffee</t>
        </is>
      </c>
      <c r="D29" s="11" t="inlineStr">
        <is>
          <t>How strongly buyers ask for certified or sustainably sourced coffee</t>
        </is>
      </c>
      <c r="E29" s="11" t="inlineStr">
        <is>
          <t>Premium coffee segment</t>
        </is>
      </c>
      <c r="F29" s="11" t="inlineStr">
        <is>
          <t>Qualitative rubric</t>
        </is>
      </c>
      <c r="G29" s="11" t="inlineStr">
        <is>
          <t>Score 1 to 5</t>
        </is>
      </c>
      <c r="H29" s="11" t="inlineStr">
        <is>
          <t>Higher is better</t>
        </is>
      </c>
      <c r="I29" s="11" t="inlineStr">
        <is>
          <t>Industry reports, certification bodies</t>
        </is>
      </c>
      <c r="J29" s="11" t="inlineStr"/>
      <c r="K29" s="15" t="n"/>
      <c r="L29" s="11" t="inlineStr">
        <is>
          <t>Not checked</t>
        </is>
      </c>
      <c r="M29" s="11" t="inlineStr">
        <is>
          <t>Not checked</t>
        </is>
      </c>
      <c r="N29" s="11" t="inlineStr">
        <is>
          <t>Not checked</t>
        </is>
      </c>
      <c r="O29" s="11" t="inlineStr">
        <is>
          <t>Not checked</t>
        </is>
      </c>
      <c r="P29" s="11" t="inlineStr">
        <is>
          <t>Not checked</t>
        </is>
      </c>
      <c r="Q29" s="11" t="inlineStr">
        <is>
          <t>Not checked</t>
        </is>
      </c>
      <c r="R29" s="14">
        <f>IF(C29="","",COUNTIF(L29:Q29,"Yes"))</f>
        <v/>
      </c>
      <c r="S29" s="11" t="n"/>
      <c r="T29" s="11" t="n"/>
      <c r="U29" s="11" t="n"/>
      <c r="V29" s="14">
        <f>IF(U29="Yes",IF(R29=6,"OK","Coverage gap"),"")</f>
        <v/>
      </c>
      <c r="W29" s="11" t="inlineStr">
        <is>
          <t>Instructor</t>
        </is>
      </c>
      <c r="X29" s="11" t="n"/>
      <c r="Y29" s="15" t="n"/>
      <c r="Z29" s="11" t="inlineStr">
        <is>
          <t>Define the score levels in the comment.</t>
        </is>
      </c>
    </row>
    <row r="30" ht="40" customHeight="1">
      <c r="A30" s="14">
        <f>IF(B30="","",UPPER(LEFT(B30,2))&amp;TEXT(COUNTIF(B$2:B30,B30),"00"))</f>
        <v/>
      </c>
      <c r="B30" s="11" t="inlineStr">
        <is>
          <t>Environmental</t>
        </is>
      </c>
      <c r="C30" s="11" t="inlineStr">
        <is>
          <t>Domestic coffee production</t>
        </is>
      </c>
      <c r="D30" s="11" t="inlineStr">
        <is>
          <t>Volume of coffee produced in the country</t>
        </is>
      </c>
      <c r="E30" s="11" t="inlineStr">
        <is>
          <t>Competitive landscape</t>
        </is>
      </c>
      <c r="F30" s="11" t="inlineStr">
        <is>
          <t>Quantitative</t>
        </is>
      </c>
      <c r="G30" s="11" t="inlineStr">
        <is>
          <t>Bags or tonnes (check the unit)</t>
        </is>
      </c>
      <c r="H30" s="11" t="inlineStr">
        <is>
          <t>Decide and explain</t>
        </is>
      </c>
      <c r="I30" s="11" t="inlineStr">
        <is>
          <t>International Coffee Organization; USDA Foreign Agricultural Service</t>
        </is>
      </c>
      <c r="J30" s="11" t="inlineStr">
        <is>
          <t>https://www.ico.org/</t>
        </is>
      </c>
      <c r="K30" s="15" t="n"/>
      <c r="L30" s="11" t="inlineStr">
        <is>
          <t>Not checked</t>
        </is>
      </c>
      <c r="M30" s="11" t="inlineStr">
        <is>
          <t>Not checked</t>
        </is>
      </c>
      <c r="N30" s="11" t="inlineStr">
        <is>
          <t>Not checked</t>
        </is>
      </c>
      <c r="O30" s="11" t="inlineStr">
        <is>
          <t>Not checked</t>
        </is>
      </c>
      <c r="P30" s="11" t="inlineStr">
        <is>
          <t>Not checked</t>
        </is>
      </c>
      <c r="Q30" s="11" t="inlineStr">
        <is>
          <t>Not checked</t>
        </is>
      </c>
      <c r="R30" s="14">
        <f>IF(C30="","",COUNTIF(L30:Q30,"Yes"))</f>
        <v/>
      </c>
      <c r="S30" s="11" t="n"/>
      <c r="T30" s="11" t="n"/>
      <c r="U30" s="11" t="n"/>
      <c r="V30" s="14">
        <f>IF(U30="Yes",IF(R30=6,"OK","Coverage gap"),"")</f>
        <v/>
      </c>
      <c r="W30" s="11" t="inlineStr">
        <is>
          <t>Instructor</t>
        </is>
      </c>
      <c r="X30" s="11" t="n"/>
      <c r="Y30" s="15" t="n"/>
      <c r="Z30" s="11" t="inlineStr">
        <is>
          <t>Large production can mean strong local roasters and low prices. Decide how you treat it and explain.</t>
        </is>
      </c>
    </row>
    <row r="31" ht="40" customHeight="1">
      <c r="A31" s="14">
        <f>IF(B31="","",UPPER(LEFT(B31,2))&amp;TEXT(COUNTIF(B$2:B31,B31),"00"))</f>
        <v/>
      </c>
      <c r="B31" s="11" t="inlineStr">
        <is>
          <t>Legal</t>
        </is>
      </c>
      <c r="C31" s="11" t="inlineStr">
        <is>
          <t>Regulatory quality</t>
        </is>
      </c>
      <c r="D31" s="11" t="inlineStr">
        <is>
          <t>Ability of the government to set and apply sound regulation</t>
        </is>
      </c>
      <c r="E31" s="11" t="inlineStr">
        <is>
          <t>Import and regulation</t>
        </is>
      </c>
      <c r="F31" s="11" t="inlineStr">
        <is>
          <t>Quantitative</t>
        </is>
      </c>
      <c r="G31" s="11" t="inlineStr">
        <is>
          <t>Estimate, about -2.5 to 2.5</t>
        </is>
      </c>
      <c r="H31" s="11" t="inlineStr">
        <is>
          <t>Higher is better</t>
        </is>
      </c>
      <c r="I31" s="11" t="inlineStr">
        <is>
          <t>Worldwide Governance Indicators, World Bank</t>
        </is>
      </c>
      <c r="J31" s="11" t="inlineStr">
        <is>
          <t>https://www.worldbank.org/en/publication/worldwide-governance-indicators</t>
        </is>
      </c>
      <c r="K31" s="15" t="n"/>
      <c r="L31" s="11" t="inlineStr">
        <is>
          <t>Not checked</t>
        </is>
      </c>
      <c r="M31" s="11" t="inlineStr">
        <is>
          <t>Not checked</t>
        </is>
      </c>
      <c r="N31" s="11" t="inlineStr">
        <is>
          <t>Not checked</t>
        </is>
      </c>
      <c r="O31" s="11" t="inlineStr">
        <is>
          <t>Not checked</t>
        </is>
      </c>
      <c r="P31" s="11" t="inlineStr">
        <is>
          <t>Not checked</t>
        </is>
      </c>
      <c r="Q31" s="11" t="inlineStr">
        <is>
          <t>Not checked</t>
        </is>
      </c>
      <c r="R31" s="14">
        <f>IF(C31="","",COUNTIF(L31:Q31,"Yes"))</f>
        <v/>
      </c>
      <c r="S31" s="11" t="n"/>
      <c r="T31" s="11" t="n"/>
      <c r="U31" s="11" t="n"/>
      <c r="V31" s="14">
        <f>IF(U31="Yes",IF(R31=6,"OK","Coverage gap"),"")</f>
        <v/>
      </c>
      <c r="W31" s="11" t="inlineStr">
        <is>
          <t>Instructor</t>
        </is>
      </c>
      <c r="X31" s="11" t="n"/>
      <c r="Y31" s="15" t="n"/>
      <c r="Z31" s="11" t="inlineStr"/>
    </row>
    <row r="32" ht="40" customHeight="1">
      <c r="A32" s="14">
        <f>IF(B32="","",UPPER(LEFT(B32,2))&amp;TEXT(COUNTIF(B$2:B32,B32),"00"))</f>
        <v/>
      </c>
      <c r="B32" s="11" t="inlineStr">
        <is>
          <t>Legal</t>
        </is>
      </c>
      <c r="C32" s="11" t="inlineStr">
        <is>
          <t>Rule of law</t>
        </is>
      </c>
      <c r="D32" s="11" t="inlineStr">
        <is>
          <t>Confidence in contract enforcement, property rights and the courts</t>
        </is>
      </c>
      <c r="E32" s="11" t="inlineStr">
        <is>
          <t>Import and regulation</t>
        </is>
      </c>
      <c r="F32" s="11" t="inlineStr">
        <is>
          <t>Quantitative</t>
        </is>
      </c>
      <c r="G32" s="11" t="inlineStr">
        <is>
          <t>Estimate, about -2.5 to 2.5</t>
        </is>
      </c>
      <c r="H32" s="11" t="inlineStr">
        <is>
          <t>Higher is better</t>
        </is>
      </c>
      <c r="I32" s="11" t="inlineStr">
        <is>
          <t>Worldwide Governance Indicators, World Bank</t>
        </is>
      </c>
      <c r="J32" s="11" t="inlineStr">
        <is>
          <t>https://www.worldbank.org/en/publication/worldwide-governance-indicators</t>
        </is>
      </c>
      <c r="K32" s="15" t="n"/>
      <c r="L32" s="11" t="inlineStr">
        <is>
          <t>Not checked</t>
        </is>
      </c>
      <c r="M32" s="11" t="inlineStr">
        <is>
          <t>Not checked</t>
        </is>
      </c>
      <c r="N32" s="11" t="inlineStr">
        <is>
          <t>Not checked</t>
        </is>
      </c>
      <c r="O32" s="11" t="inlineStr">
        <is>
          <t>Not checked</t>
        </is>
      </c>
      <c r="P32" s="11" t="inlineStr">
        <is>
          <t>Not checked</t>
        </is>
      </c>
      <c r="Q32" s="11" t="inlineStr">
        <is>
          <t>Not checked</t>
        </is>
      </c>
      <c r="R32" s="14">
        <f>IF(C32="","",COUNTIF(L32:Q32,"Yes"))</f>
        <v/>
      </c>
      <c r="S32" s="11" t="n"/>
      <c r="T32" s="11" t="n"/>
      <c r="U32" s="11" t="n"/>
      <c r="V32" s="14">
        <f>IF(U32="Yes",IF(R32=6,"OK","Coverage gap"),"")</f>
        <v/>
      </c>
      <c r="W32" s="11" t="inlineStr">
        <is>
          <t>Instructor</t>
        </is>
      </c>
      <c r="X32" s="11" t="n"/>
      <c r="Y32" s="15" t="n"/>
      <c r="Z32" s="11" t="inlineStr">
        <is>
          <t>Matters for contracts with a local partner.</t>
        </is>
      </c>
    </row>
    <row r="33" ht="40" customHeight="1">
      <c r="A33" s="14">
        <f>IF(B33="","",UPPER(LEFT(B33,2))&amp;TEXT(COUNTIF(B$2:B33,B33),"00"))</f>
        <v/>
      </c>
      <c r="B33" s="11" t="inlineStr">
        <is>
          <t>Legal</t>
        </is>
      </c>
      <c r="C33" s="11" t="inlineStr">
        <is>
          <t>Product, labelling and certification requirements for coffee</t>
        </is>
      </c>
      <c r="D33" s="11" t="inlineStr">
        <is>
          <t>Rules that apply to roasted coffee imported from the EU</t>
        </is>
      </c>
      <c r="E33" s="11" t="inlineStr">
        <is>
          <t>Import and regulation</t>
        </is>
      </c>
      <c r="F33" s="11" t="inlineStr">
        <is>
          <t>Qualitative rubric</t>
        </is>
      </c>
      <c r="G33" s="11" t="inlineStr">
        <is>
          <t>Score 1 to 5 (5 = few barriers)</t>
        </is>
      </c>
      <c r="H33" s="11" t="inlineStr">
        <is>
          <t>Higher is better</t>
        </is>
      </c>
      <c r="I33" s="11" t="inlineStr">
        <is>
          <t>EU Access2Markets</t>
        </is>
      </c>
      <c r="J33" s="11" t="inlineStr">
        <is>
          <t>https://trade.ec.europa.eu/access-to-markets/en/content/what-access2markets-0</t>
        </is>
      </c>
      <c r="K33" s="15" t="n"/>
      <c r="L33" s="11" t="inlineStr">
        <is>
          <t>Not checked</t>
        </is>
      </c>
      <c r="M33" s="11" t="inlineStr">
        <is>
          <t>Not checked</t>
        </is>
      </c>
      <c r="N33" s="11" t="inlineStr">
        <is>
          <t>Not checked</t>
        </is>
      </c>
      <c r="O33" s="11" t="inlineStr">
        <is>
          <t>Not checked</t>
        </is>
      </c>
      <c r="P33" s="11" t="inlineStr">
        <is>
          <t>Not checked</t>
        </is>
      </c>
      <c r="Q33" s="11" t="inlineStr">
        <is>
          <t>Not checked</t>
        </is>
      </c>
      <c r="R33" s="14">
        <f>IF(C33="","",COUNTIF(L33:Q33,"Yes"))</f>
        <v/>
      </c>
      <c r="S33" s="11" t="n"/>
      <c r="T33" s="11" t="n"/>
      <c r="U33" s="11" t="n"/>
      <c r="V33" s="14">
        <f>IF(U33="Yes",IF(R33=6,"OK","Coverage gap"),"")</f>
        <v/>
      </c>
      <c r="W33" s="11" t="inlineStr">
        <is>
          <t>Instructor</t>
        </is>
      </c>
      <c r="X33" s="11" t="n"/>
      <c r="Y33" s="15" t="n"/>
      <c r="Z33" s="11" t="inlineStr"/>
    </row>
    <row r="34" ht="40" customHeight="1">
      <c r="A34" s="14">
        <f>IF(B34="","",UPPER(LEFT(B34,2))&amp;TEXT(COUNTIF(B$2:B34,B34),"00"))</f>
        <v/>
      </c>
      <c r="B34" s="11" t="inlineStr">
        <is>
          <t>Legal</t>
        </is>
      </c>
      <c r="C34" s="11" t="inlineStr">
        <is>
          <t>Trademark protection</t>
        </is>
      </c>
      <c r="D34" s="11" t="inlineStr">
        <is>
          <t>Ease and reliability of registering and protecting a brand</t>
        </is>
      </c>
      <c r="E34" s="11" t="inlineStr">
        <is>
          <t>Other (explain)</t>
        </is>
      </c>
      <c r="F34" s="11" t="inlineStr">
        <is>
          <t>Qualitative rubric</t>
        </is>
      </c>
      <c r="G34" s="11" t="inlineStr">
        <is>
          <t>Score 1 to 5</t>
        </is>
      </c>
      <c r="H34" s="11" t="inlineStr">
        <is>
          <t>Higher is better</t>
        </is>
      </c>
      <c r="I34" s="11" t="inlineStr">
        <is>
          <t>National trademark offices; WIPO</t>
        </is>
      </c>
      <c r="J34" s="11" t="inlineStr">
        <is>
          <t>https://www.wipo.int/</t>
        </is>
      </c>
      <c r="K34" s="15" t="n"/>
      <c r="L34" s="11" t="inlineStr">
        <is>
          <t>Not checked</t>
        </is>
      </c>
      <c r="M34" s="11" t="inlineStr">
        <is>
          <t>Not checked</t>
        </is>
      </c>
      <c r="N34" s="11" t="inlineStr">
        <is>
          <t>Not checked</t>
        </is>
      </c>
      <c r="O34" s="11" t="inlineStr">
        <is>
          <t>Not checked</t>
        </is>
      </c>
      <c r="P34" s="11" t="inlineStr">
        <is>
          <t>Not checked</t>
        </is>
      </c>
      <c r="Q34" s="11" t="inlineStr">
        <is>
          <t>Not checked</t>
        </is>
      </c>
      <c r="R34" s="14">
        <f>IF(C34="","",COUNTIF(L34:Q34,"Yes"))</f>
        <v/>
      </c>
      <c r="S34" s="11" t="n"/>
      <c r="T34" s="11" t="n"/>
      <c r="U34" s="11" t="n"/>
      <c r="V34" s="14">
        <f>IF(U34="Yes",IF(R34=6,"OK","Coverage gap"),"")</f>
        <v/>
      </c>
      <c r="W34" s="11" t="inlineStr">
        <is>
          <t>Instructor</t>
        </is>
      </c>
      <c r="X34" s="11" t="n"/>
      <c r="Y34" s="15" t="n"/>
      <c r="Z34" s="11" t="inlineStr">
        <is>
          <t>Name the national office you used for each country.</t>
        </is>
      </c>
    </row>
    <row r="35" ht="40" customHeight="1">
      <c r="A35" s="14">
        <f>IF(B35="","",UPPER(LEFT(B35,2))&amp;TEXT(COUNTIF(B$2:B35,B35),"00"))</f>
        <v/>
      </c>
      <c r="B35" s="11" t="inlineStr">
        <is>
          <t>Legal</t>
        </is>
      </c>
      <c r="C35" s="11" t="inlineStr">
        <is>
          <t>Rules for ending a distribution agreement</t>
        </is>
      </c>
      <c r="D35" s="11" t="inlineStr">
        <is>
          <t>Legal protection of local distributors and the cost of ending a contract</t>
        </is>
      </c>
      <c r="E35" s="11" t="inlineStr">
        <is>
          <t>Other (explain)</t>
        </is>
      </c>
      <c r="F35" s="11" t="inlineStr">
        <is>
          <t>Qualitative rubric</t>
        </is>
      </c>
      <c r="G35" s="11" t="inlineStr">
        <is>
          <t>Score 1 to 5</t>
        </is>
      </c>
      <c r="H35" s="11" t="inlineStr">
        <is>
          <t>Decide and explain</t>
        </is>
      </c>
      <c r="I35" s="11" t="inlineStr">
        <is>
          <t>Law firm guides; national law</t>
        </is>
      </c>
      <c r="J35" s="11" t="inlineStr"/>
      <c r="K35" s="15" t="n"/>
      <c r="L35" s="11" t="inlineStr">
        <is>
          <t>Not checked</t>
        </is>
      </c>
      <c r="M35" s="11" t="inlineStr">
        <is>
          <t>Not checked</t>
        </is>
      </c>
      <c r="N35" s="11" t="inlineStr">
        <is>
          <t>Not checked</t>
        </is>
      </c>
      <c r="O35" s="11" t="inlineStr">
        <is>
          <t>Not checked</t>
        </is>
      </c>
      <c r="P35" s="11" t="inlineStr">
        <is>
          <t>Not checked</t>
        </is>
      </c>
      <c r="Q35" s="11" t="inlineStr">
        <is>
          <t>Not checked</t>
        </is>
      </c>
      <c r="R35" s="14">
        <f>IF(C35="","",COUNTIF(L35:Q35,"Yes"))</f>
        <v/>
      </c>
      <c r="S35" s="11" t="n"/>
      <c r="T35" s="11" t="n"/>
      <c r="U35" s="11" t="n"/>
      <c r="V35" s="14">
        <f>IF(U35="Yes",IF(R35=6,"OK","Coverage gap"),"")</f>
        <v/>
      </c>
      <c r="W35" s="11" t="inlineStr">
        <is>
          <t>Instructor</t>
        </is>
      </c>
      <c r="X35" s="11" t="n"/>
      <c r="Y35" s="15" t="n"/>
      <c r="Z35" s="11" t="inlineStr">
        <is>
          <t>Relevant for the local partner model. Strong protection can make an exit expensive.</t>
        </is>
      </c>
    </row>
    <row r="36" ht="40" customHeight="1">
      <c r="A36" s="14">
        <f>IF(B36="","",UPPER(LEFT(B36,2))&amp;TEXT(COUNTIF(B$2:B36,B36),"00"))</f>
        <v/>
      </c>
      <c r="B36" s="11" t="inlineStr">
        <is>
          <t>Legal</t>
        </is>
      </c>
      <c r="C36" s="11" t="inlineStr">
        <is>
          <t>Ease of doing business (Business Ready)</t>
        </is>
      </c>
      <c r="D36" s="11" t="inlineStr">
        <is>
          <t>Scores on topics such as business entry, trade and taxation</t>
        </is>
      </c>
      <c r="E36" s="11" t="inlineStr">
        <is>
          <t>Import and regulation</t>
        </is>
      </c>
      <c r="F36" s="11" t="inlineStr">
        <is>
          <t>Quantitative</t>
        </is>
      </c>
      <c r="G36" s="11" t="inlineStr">
        <is>
          <t>Score 0 to 100</t>
        </is>
      </c>
      <c r="H36" s="11" t="inlineStr">
        <is>
          <t>Higher is better</t>
        </is>
      </c>
      <c r="I36" s="11" t="inlineStr">
        <is>
          <t>Business Ready, World Bank</t>
        </is>
      </c>
      <c r="J36" s="11" t="inlineStr">
        <is>
          <t>https://www.worldbank.org/en/businessready/publications-2024</t>
        </is>
      </c>
      <c r="K36" s="15" t="n"/>
      <c r="L36" s="11" t="inlineStr">
        <is>
          <t>Not checked</t>
        </is>
      </c>
      <c r="M36" s="11" t="inlineStr">
        <is>
          <t>Not checked</t>
        </is>
      </c>
      <c r="N36" s="11" t="inlineStr">
        <is>
          <t>Not checked</t>
        </is>
      </c>
      <c r="O36" s="11" t="inlineStr">
        <is>
          <t>Not checked</t>
        </is>
      </c>
      <c r="P36" s="11" t="inlineStr">
        <is>
          <t>Not checked</t>
        </is>
      </c>
      <c r="Q36" s="11" t="inlineStr">
        <is>
          <t>Not checked</t>
        </is>
      </c>
      <c r="R36" s="14">
        <f>IF(C36="","",COUNTIF(L36:Q36,"Yes"))</f>
        <v/>
      </c>
      <c r="S36" s="11" t="n"/>
      <c r="T36" s="11" t="n"/>
      <c r="U36" s="11" t="n"/>
      <c r="V36" s="14">
        <f>IF(U36="Yes",IF(R36=6,"OK","Coverage gap"),"")</f>
        <v/>
      </c>
      <c r="W36" s="11" t="inlineStr">
        <is>
          <t>Instructor</t>
        </is>
      </c>
      <c r="X36" s="11" t="n"/>
      <c r="Y36" s="15" t="n"/>
      <c r="Z36" s="11" t="inlineStr">
        <is>
          <t>Coverage was limited to 50 economies in 2024: check all six countries.</t>
        </is>
      </c>
    </row>
    <row r="37" ht="18" customHeight="1">
      <c r="A37" s="14">
        <f>IF(B37="","",UPPER(LEFT(B37,2))&amp;TEXT(COUNTIF(B$2:B37,B37),"00"))</f>
        <v/>
      </c>
      <c r="B37" s="11" t="n"/>
      <c r="C37" s="11" t="n"/>
      <c r="D37" s="11" t="n"/>
      <c r="E37" s="11" t="n"/>
      <c r="F37" s="11" t="n"/>
      <c r="G37" s="11" t="n"/>
      <c r="H37" s="11" t="n"/>
      <c r="I37" s="11" t="n"/>
      <c r="J37" s="11" t="n"/>
      <c r="K37" s="15" t="n"/>
      <c r="L37" s="11" t="n"/>
      <c r="M37" s="11" t="n"/>
      <c r="N37" s="11" t="n"/>
      <c r="O37" s="11" t="n"/>
      <c r="P37" s="11" t="n"/>
      <c r="Q37" s="11" t="n"/>
      <c r="R37" s="14">
        <f>IF(C37="","",COUNTIF(L37:Q37,"Yes"))</f>
        <v/>
      </c>
      <c r="S37" s="11" t="n"/>
      <c r="T37" s="11" t="n"/>
      <c r="U37" s="11" t="n"/>
      <c r="V37" s="14">
        <f>IF(U37="Yes",IF(R37=6,"OK","Coverage gap"),"")</f>
        <v/>
      </c>
      <c r="W37" s="11" t="n"/>
      <c r="X37" s="11" t="n"/>
      <c r="Y37" s="15" t="n"/>
      <c r="Z37" s="11" t="n"/>
    </row>
    <row r="38" ht="18" customHeight="1">
      <c r="A38" s="14">
        <f>IF(B38="","",UPPER(LEFT(B38,2))&amp;TEXT(COUNTIF(B$2:B38,B38),"00"))</f>
        <v/>
      </c>
      <c r="B38" s="11" t="n"/>
      <c r="C38" s="11" t="n"/>
      <c r="D38" s="11" t="n"/>
      <c r="E38" s="11" t="n"/>
      <c r="F38" s="11" t="n"/>
      <c r="G38" s="11" t="n"/>
      <c r="H38" s="11" t="n"/>
      <c r="I38" s="11" t="n"/>
      <c r="J38" s="11" t="n"/>
      <c r="K38" s="15" t="n"/>
      <c r="L38" s="11" t="n"/>
      <c r="M38" s="11" t="n"/>
      <c r="N38" s="11" t="n"/>
      <c r="O38" s="11" t="n"/>
      <c r="P38" s="11" t="n"/>
      <c r="Q38" s="11" t="n"/>
      <c r="R38" s="14">
        <f>IF(C38="","",COUNTIF(L38:Q38,"Yes"))</f>
        <v/>
      </c>
      <c r="S38" s="11" t="n"/>
      <c r="T38" s="11" t="n"/>
      <c r="U38" s="11" t="n"/>
      <c r="V38" s="14">
        <f>IF(U38="Yes",IF(R38=6,"OK","Coverage gap"),"")</f>
        <v/>
      </c>
      <c r="W38" s="11" t="n"/>
      <c r="X38" s="11" t="n"/>
      <c r="Y38" s="15" t="n"/>
      <c r="Z38" s="11" t="n"/>
    </row>
    <row r="39" ht="18" customHeight="1">
      <c r="A39" s="14">
        <f>IF(B39="","",UPPER(LEFT(B39,2))&amp;TEXT(COUNTIF(B$2:B39,B39),"00"))</f>
        <v/>
      </c>
      <c r="B39" s="11" t="n"/>
      <c r="C39" s="11" t="n"/>
      <c r="D39" s="11" t="n"/>
      <c r="E39" s="11" t="n"/>
      <c r="F39" s="11" t="n"/>
      <c r="G39" s="11" t="n"/>
      <c r="H39" s="11" t="n"/>
      <c r="I39" s="11" t="n"/>
      <c r="J39" s="11" t="n"/>
      <c r="K39" s="15" t="n"/>
      <c r="L39" s="11" t="n"/>
      <c r="M39" s="11" t="n"/>
      <c r="N39" s="11" t="n"/>
      <c r="O39" s="11" t="n"/>
      <c r="P39" s="11" t="n"/>
      <c r="Q39" s="11" t="n"/>
      <c r="R39" s="14">
        <f>IF(C39="","",COUNTIF(L39:Q39,"Yes"))</f>
        <v/>
      </c>
      <c r="S39" s="11" t="n"/>
      <c r="T39" s="11" t="n"/>
      <c r="U39" s="11" t="n"/>
      <c r="V39" s="14">
        <f>IF(U39="Yes",IF(R39=6,"OK","Coverage gap"),"")</f>
        <v/>
      </c>
      <c r="W39" s="11" t="n"/>
      <c r="X39" s="11" t="n"/>
      <c r="Y39" s="15" t="n"/>
      <c r="Z39" s="11" t="n"/>
    </row>
    <row r="40" ht="18" customHeight="1">
      <c r="A40" s="14">
        <f>IF(B40="","",UPPER(LEFT(B40,2))&amp;TEXT(COUNTIF(B$2:B40,B40),"00"))</f>
        <v/>
      </c>
      <c r="B40" s="11" t="n"/>
      <c r="C40" s="11" t="n"/>
      <c r="D40" s="11" t="n"/>
      <c r="E40" s="11" t="n"/>
      <c r="F40" s="11" t="n"/>
      <c r="G40" s="11" t="n"/>
      <c r="H40" s="11" t="n"/>
      <c r="I40" s="11" t="n"/>
      <c r="J40" s="11" t="n"/>
      <c r="K40" s="15" t="n"/>
      <c r="L40" s="11" t="n"/>
      <c r="M40" s="11" t="n"/>
      <c r="N40" s="11" t="n"/>
      <c r="O40" s="11" t="n"/>
      <c r="P40" s="11" t="n"/>
      <c r="Q40" s="11" t="n"/>
      <c r="R40" s="14">
        <f>IF(C40="","",COUNTIF(L40:Q40,"Yes"))</f>
        <v/>
      </c>
      <c r="S40" s="11" t="n"/>
      <c r="T40" s="11" t="n"/>
      <c r="U40" s="11" t="n"/>
      <c r="V40" s="14">
        <f>IF(U40="Yes",IF(R40=6,"OK","Coverage gap"),"")</f>
        <v/>
      </c>
      <c r="W40" s="11" t="n"/>
      <c r="X40" s="11" t="n"/>
      <c r="Y40" s="15" t="n"/>
      <c r="Z40" s="11" t="n"/>
    </row>
    <row r="41" ht="18" customHeight="1">
      <c r="A41" s="14">
        <f>IF(B41="","",UPPER(LEFT(B41,2))&amp;TEXT(COUNTIF(B$2:B41,B41),"00"))</f>
        <v/>
      </c>
      <c r="B41" s="11" t="n"/>
      <c r="C41" s="11" t="n"/>
      <c r="D41" s="11" t="n"/>
      <c r="E41" s="11" t="n"/>
      <c r="F41" s="11" t="n"/>
      <c r="G41" s="11" t="n"/>
      <c r="H41" s="11" t="n"/>
      <c r="I41" s="11" t="n"/>
      <c r="J41" s="11" t="n"/>
      <c r="K41" s="15" t="n"/>
      <c r="L41" s="11" t="n"/>
      <c r="M41" s="11" t="n"/>
      <c r="N41" s="11" t="n"/>
      <c r="O41" s="11" t="n"/>
      <c r="P41" s="11" t="n"/>
      <c r="Q41" s="11" t="n"/>
      <c r="R41" s="14">
        <f>IF(C41="","",COUNTIF(L41:Q41,"Yes"))</f>
        <v/>
      </c>
      <c r="S41" s="11" t="n"/>
      <c r="T41" s="11" t="n"/>
      <c r="U41" s="11" t="n"/>
      <c r="V41" s="14">
        <f>IF(U41="Yes",IF(R41=6,"OK","Coverage gap"),"")</f>
        <v/>
      </c>
      <c r="W41" s="11" t="n"/>
      <c r="X41" s="11" t="n"/>
      <c r="Y41" s="15" t="n"/>
      <c r="Z41" s="11" t="n"/>
    </row>
    <row r="42" ht="18" customHeight="1">
      <c r="A42" s="14">
        <f>IF(B42="","",UPPER(LEFT(B42,2))&amp;TEXT(COUNTIF(B$2:B42,B42),"00"))</f>
        <v/>
      </c>
      <c r="B42" s="11" t="n"/>
      <c r="C42" s="11" t="n"/>
      <c r="D42" s="11" t="n"/>
      <c r="E42" s="11" t="n"/>
      <c r="F42" s="11" t="n"/>
      <c r="G42" s="11" t="n"/>
      <c r="H42" s="11" t="n"/>
      <c r="I42" s="11" t="n"/>
      <c r="J42" s="11" t="n"/>
      <c r="K42" s="15" t="n"/>
      <c r="L42" s="11" t="n"/>
      <c r="M42" s="11" t="n"/>
      <c r="N42" s="11" t="n"/>
      <c r="O42" s="11" t="n"/>
      <c r="P42" s="11" t="n"/>
      <c r="Q42" s="11" t="n"/>
      <c r="R42" s="14">
        <f>IF(C42="","",COUNTIF(L42:Q42,"Yes"))</f>
        <v/>
      </c>
      <c r="S42" s="11" t="n"/>
      <c r="T42" s="11" t="n"/>
      <c r="U42" s="11" t="n"/>
      <c r="V42" s="14">
        <f>IF(U42="Yes",IF(R42=6,"OK","Coverage gap"),"")</f>
        <v/>
      </c>
      <c r="W42" s="11" t="n"/>
      <c r="X42" s="11" t="n"/>
      <c r="Y42" s="15" t="n"/>
      <c r="Z42" s="11" t="n"/>
    </row>
    <row r="43" ht="18" customHeight="1">
      <c r="A43" s="14">
        <f>IF(B43="","",UPPER(LEFT(B43,2))&amp;TEXT(COUNTIF(B$2:B43,B43),"00"))</f>
        <v/>
      </c>
      <c r="B43" s="11" t="n"/>
      <c r="C43" s="11" t="n"/>
      <c r="D43" s="11" t="n"/>
      <c r="E43" s="11" t="n"/>
      <c r="F43" s="11" t="n"/>
      <c r="G43" s="11" t="n"/>
      <c r="H43" s="11" t="n"/>
      <c r="I43" s="11" t="n"/>
      <c r="J43" s="11" t="n"/>
      <c r="K43" s="15" t="n"/>
      <c r="L43" s="11" t="n"/>
      <c r="M43" s="11" t="n"/>
      <c r="N43" s="11" t="n"/>
      <c r="O43" s="11" t="n"/>
      <c r="P43" s="11" t="n"/>
      <c r="Q43" s="11" t="n"/>
      <c r="R43" s="14">
        <f>IF(C43="","",COUNTIF(L43:Q43,"Yes"))</f>
        <v/>
      </c>
      <c r="S43" s="11" t="n"/>
      <c r="T43" s="11" t="n"/>
      <c r="U43" s="11" t="n"/>
      <c r="V43" s="14">
        <f>IF(U43="Yes",IF(R43=6,"OK","Coverage gap"),"")</f>
        <v/>
      </c>
      <c r="W43" s="11" t="n"/>
      <c r="X43" s="11" t="n"/>
      <c r="Y43" s="15" t="n"/>
      <c r="Z43" s="11" t="n"/>
    </row>
    <row r="44" ht="18" customHeight="1">
      <c r="A44" s="14">
        <f>IF(B44="","",UPPER(LEFT(B44,2))&amp;TEXT(COUNTIF(B$2:B44,B44),"00"))</f>
        <v/>
      </c>
      <c r="B44" s="11" t="n"/>
      <c r="C44" s="11" t="n"/>
      <c r="D44" s="11" t="n"/>
      <c r="E44" s="11" t="n"/>
      <c r="F44" s="11" t="n"/>
      <c r="G44" s="11" t="n"/>
      <c r="H44" s="11" t="n"/>
      <c r="I44" s="11" t="n"/>
      <c r="J44" s="11" t="n"/>
      <c r="K44" s="15" t="n"/>
      <c r="L44" s="11" t="n"/>
      <c r="M44" s="11" t="n"/>
      <c r="N44" s="11" t="n"/>
      <c r="O44" s="11" t="n"/>
      <c r="P44" s="11" t="n"/>
      <c r="Q44" s="11" t="n"/>
      <c r="R44" s="14">
        <f>IF(C44="","",COUNTIF(L44:Q44,"Yes"))</f>
        <v/>
      </c>
      <c r="S44" s="11" t="n"/>
      <c r="T44" s="11" t="n"/>
      <c r="U44" s="11" t="n"/>
      <c r="V44" s="14">
        <f>IF(U44="Yes",IF(R44=6,"OK","Coverage gap"),"")</f>
        <v/>
      </c>
      <c r="W44" s="11" t="n"/>
      <c r="X44" s="11" t="n"/>
      <c r="Y44" s="15" t="n"/>
      <c r="Z44" s="11" t="n"/>
    </row>
    <row r="45" ht="18" customHeight="1">
      <c r="A45" s="14">
        <f>IF(B45="","",UPPER(LEFT(B45,2))&amp;TEXT(COUNTIF(B$2:B45,B45),"00"))</f>
        <v/>
      </c>
      <c r="B45" s="11" t="n"/>
      <c r="C45" s="11" t="n"/>
      <c r="D45" s="11" t="n"/>
      <c r="E45" s="11" t="n"/>
      <c r="F45" s="11" t="n"/>
      <c r="G45" s="11" t="n"/>
      <c r="H45" s="11" t="n"/>
      <c r="I45" s="11" t="n"/>
      <c r="J45" s="11" t="n"/>
      <c r="K45" s="15" t="n"/>
      <c r="L45" s="11" t="n"/>
      <c r="M45" s="11" t="n"/>
      <c r="N45" s="11" t="n"/>
      <c r="O45" s="11" t="n"/>
      <c r="P45" s="11" t="n"/>
      <c r="Q45" s="11" t="n"/>
      <c r="R45" s="14">
        <f>IF(C45="","",COUNTIF(L45:Q45,"Yes"))</f>
        <v/>
      </c>
      <c r="S45" s="11" t="n"/>
      <c r="T45" s="11" t="n"/>
      <c r="U45" s="11" t="n"/>
      <c r="V45" s="14">
        <f>IF(U45="Yes",IF(R45=6,"OK","Coverage gap"),"")</f>
        <v/>
      </c>
      <c r="W45" s="11" t="n"/>
      <c r="X45" s="11" t="n"/>
      <c r="Y45" s="15" t="n"/>
      <c r="Z45" s="11" t="n"/>
    </row>
    <row r="46" ht="18" customHeight="1">
      <c r="A46" s="14">
        <f>IF(B46="","",UPPER(LEFT(B46,2))&amp;TEXT(COUNTIF(B$2:B46,B46),"00"))</f>
        <v/>
      </c>
      <c r="B46" s="11" t="n"/>
      <c r="C46" s="11" t="n"/>
      <c r="D46" s="11" t="n"/>
      <c r="E46" s="11" t="n"/>
      <c r="F46" s="11" t="n"/>
      <c r="G46" s="11" t="n"/>
      <c r="H46" s="11" t="n"/>
      <c r="I46" s="11" t="n"/>
      <c r="J46" s="11" t="n"/>
      <c r="K46" s="15" t="n"/>
      <c r="L46" s="11" t="n"/>
      <c r="M46" s="11" t="n"/>
      <c r="N46" s="11" t="n"/>
      <c r="O46" s="11" t="n"/>
      <c r="P46" s="11" t="n"/>
      <c r="Q46" s="11" t="n"/>
      <c r="R46" s="14">
        <f>IF(C46="","",COUNTIF(L46:Q46,"Yes"))</f>
        <v/>
      </c>
      <c r="S46" s="11" t="n"/>
      <c r="T46" s="11" t="n"/>
      <c r="U46" s="11" t="n"/>
      <c r="V46" s="14">
        <f>IF(U46="Yes",IF(R46=6,"OK","Coverage gap"),"")</f>
        <v/>
      </c>
      <c r="W46" s="11" t="n"/>
      <c r="X46" s="11" t="n"/>
      <c r="Y46" s="15" t="n"/>
      <c r="Z46" s="11" t="n"/>
    </row>
    <row r="47" ht="18" customHeight="1">
      <c r="A47" s="14">
        <f>IF(B47="","",UPPER(LEFT(B47,2))&amp;TEXT(COUNTIF(B$2:B47,B47),"00"))</f>
        <v/>
      </c>
      <c r="B47" s="11" t="n"/>
      <c r="C47" s="11" t="n"/>
      <c r="D47" s="11" t="n"/>
      <c r="E47" s="11" t="n"/>
      <c r="F47" s="11" t="n"/>
      <c r="G47" s="11" t="n"/>
      <c r="H47" s="11" t="n"/>
      <c r="I47" s="11" t="n"/>
      <c r="J47" s="11" t="n"/>
      <c r="K47" s="15" t="n"/>
      <c r="L47" s="11" t="n"/>
      <c r="M47" s="11" t="n"/>
      <c r="N47" s="11" t="n"/>
      <c r="O47" s="11" t="n"/>
      <c r="P47" s="11" t="n"/>
      <c r="Q47" s="11" t="n"/>
      <c r="R47" s="14">
        <f>IF(C47="","",COUNTIF(L47:Q47,"Yes"))</f>
        <v/>
      </c>
      <c r="S47" s="11" t="n"/>
      <c r="T47" s="11" t="n"/>
      <c r="U47" s="11" t="n"/>
      <c r="V47" s="14">
        <f>IF(U47="Yes",IF(R47=6,"OK","Coverage gap"),"")</f>
        <v/>
      </c>
      <c r="W47" s="11" t="n"/>
      <c r="X47" s="11" t="n"/>
      <c r="Y47" s="15" t="n"/>
      <c r="Z47" s="11" t="n"/>
    </row>
    <row r="48" ht="18" customHeight="1">
      <c r="A48" s="14">
        <f>IF(B48="","",UPPER(LEFT(B48,2))&amp;TEXT(COUNTIF(B$2:B48,B48),"00"))</f>
        <v/>
      </c>
      <c r="B48" s="11" t="n"/>
      <c r="C48" s="11" t="n"/>
      <c r="D48" s="11" t="n"/>
      <c r="E48" s="11" t="n"/>
      <c r="F48" s="11" t="n"/>
      <c r="G48" s="11" t="n"/>
      <c r="H48" s="11" t="n"/>
      <c r="I48" s="11" t="n"/>
      <c r="J48" s="11" t="n"/>
      <c r="K48" s="15" t="n"/>
      <c r="L48" s="11" t="n"/>
      <c r="M48" s="11" t="n"/>
      <c r="N48" s="11" t="n"/>
      <c r="O48" s="11" t="n"/>
      <c r="P48" s="11" t="n"/>
      <c r="Q48" s="11" t="n"/>
      <c r="R48" s="14">
        <f>IF(C48="","",COUNTIF(L48:Q48,"Yes"))</f>
        <v/>
      </c>
      <c r="S48" s="11" t="n"/>
      <c r="T48" s="11" t="n"/>
      <c r="U48" s="11" t="n"/>
      <c r="V48" s="14">
        <f>IF(U48="Yes",IF(R48=6,"OK","Coverage gap"),"")</f>
        <v/>
      </c>
      <c r="W48" s="11" t="n"/>
      <c r="X48" s="11" t="n"/>
      <c r="Y48" s="15" t="n"/>
      <c r="Z48" s="11" t="n"/>
    </row>
    <row r="49" ht="18" customHeight="1">
      <c r="A49" s="14">
        <f>IF(B49="","",UPPER(LEFT(B49,2))&amp;TEXT(COUNTIF(B$2:B49,B49),"00"))</f>
        <v/>
      </c>
      <c r="B49" s="11" t="n"/>
      <c r="C49" s="11" t="n"/>
      <c r="D49" s="11" t="n"/>
      <c r="E49" s="11" t="n"/>
      <c r="F49" s="11" t="n"/>
      <c r="G49" s="11" t="n"/>
      <c r="H49" s="11" t="n"/>
      <c r="I49" s="11" t="n"/>
      <c r="J49" s="11" t="n"/>
      <c r="K49" s="15" t="n"/>
      <c r="L49" s="11" t="n"/>
      <c r="M49" s="11" t="n"/>
      <c r="N49" s="11" t="n"/>
      <c r="O49" s="11" t="n"/>
      <c r="P49" s="11" t="n"/>
      <c r="Q49" s="11" t="n"/>
      <c r="R49" s="14">
        <f>IF(C49="","",COUNTIF(L49:Q49,"Yes"))</f>
        <v/>
      </c>
      <c r="S49" s="11" t="n"/>
      <c r="T49" s="11" t="n"/>
      <c r="U49" s="11" t="n"/>
      <c r="V49" s="14">
        <f>IF(U49="Yes",IF(R49=6,"OK","Coverage gap"),"")</f>
        <v/>
      </c>
      <c r="W49" s="11" t="n"/>
      <c r="X49" s="11" t="n"/>
      <c r="Y49" s="15" t="n"/>
      <c r="Z49" s="11" t="n"/>
    </row>
    <row r="50" ht="18" customHeight="1">
      <c r="A50" s="14">
        <f>IF(B50="","",UPPER(LEFT(B50,2))&amp;TEXT(COUNTIF(B$2:B50,B50),"00"))</f>
        <v/>
      </c>
      <c r="B50" s="11" t="n"/>
      <c r="C50" s="11" t="n"/>
      <c r="D50" s="11" t="n"/>
      <c r="E50" s="11" t="n"/>
      <c r="F50" s="11" t="n"/>
      <c r="G50" s="11" t="n"/>
      <c r="H50" s="11" t="n"/>
      <c r="I50" s="11" t="n"/>
      <c r="J50" s="11" t="n"/>
      <c r="K50" s="15" t="n"/>
      <c r="L50" s="11" t="n"/>
      <c r="M50" s="11" t="n"/>
      <c r="N50" s="11" t="n"/>
      <c r="O50" s="11" t="n"/>
      <c r="P50" s="11" t="n"/>
      <c r="Q50" s="11" t="n"/>
      <c r="R50" s="14">
        <f>IF(C50="","",COUNTIF(L50:Q50,"Yes"))</f>
        <v/>
      </c>
      <c r="S50" s="11" t="n"/>
      <c r="T50" s="11" t="n"/>
      <c r="U50" s="11" t="n"/>
      <c r="V50" s="14">
        <f>IF(U50="Yes",IF(R50=6,"OK","Coverage gap"),"")</f>
        <v/>
      </c>
      <c r="W50" s="11" t="n"/>
      <c r="X50" s="11" t="n"/>
      <c r="Y50" s="15" t="n"/>
      <c r="Z50" s="11" t="n"/>
    </row>
    <row r="51" ht="18" customHeight="1">
      <c r="A51" s="14">
        <f>IF(B51="","",UPPER(LEFT(B51,2))&amp;TEXT(COUNTIF(B$2:B51,B51),"00"))</f>
        <v/>
      </c>
      <c r="B51" s="11" t="n"/>
      <c r="C51" s="11" t="n"/>
      <c r="D51" s="11" t="n"/>
      <c r="E51" s="11" t="n"/>
      <c r="F51" s="11" t="n"/>
      <c r="G51" s="11" t="n"/>
      <c r="H51" s="11" t="n"/>
      <c r="I51" s="11" t="n"/>
      <c r="J51" s="11" t="n"/>
      <c r="K51" s="15" t="n"/>
      <c r="L51" s="11" t="n"/>
      <c r="M51" s="11" t="n"/>
      <c r="N51" s="11" t="n"/>
      <c r="O51" s="11" t="n"/>
      <c r="P51" s="11" t="n"/>
      <c r="Q51" s="11" t="n"/>
      <c r="R51" s="14">
        <f>IF(C51="","",COUNTIF(L51:Q51,"Yes"))</f>
        <v/>
      </c>
      <c r="S51" s="11" t="n"/>
      <c r="T51" s="11" t="n"/>
      <c r="U51" s="11" t="n"/>
      <c r="V51" s="14">
        <f>IF(U51="Yes",IF(R51=6,"OK","Coverage gap"),"")</f>
        <v/>
      </c>
      <c r="W51" s="11" t="n"/>
      <c r="X51" s="11" t="n"/>
      <c r="Y51" s="15" t="n"/>
      <c r="Z51" s="11" t="n"/>
    </row>
    <row r="52" ht="18" customHeight="1">
      <c r="A52" s="14">
        <f>IF(B52="","",UPPER(LEFT(B52,2))&amp;TEXT(COUNTIF(B$2:B52,B52),"00"))</f>
        <v/>
      </c>
      <c r="B52" s="11" t="n"/>
      <c r="C52" s="11" t="n"/>
      <c r="D52" s="11" t="n"/>
      <c r="E52" s="11" t="n"/>
      <c r="F52" s="11" t="n"/>
      <c r="G52" s="11" t="n"/>
      <c r="H52" s="11" t="n"/>
      <c r="I52" s="11" t="n"/>
      <c r="J52" s="11" t="n"/>
      <c r="K52" s="15" t="n"/>
      <c r="L52" s="11" t="n"/>
      <c r="M52" s="11" t="n"/>
      <c r="N52" s="11" t="n"/>
      <c r="O52" s="11" t="n"/>
      <c r="P52" s="11" t="n"/>
      <c r="Q52" s="11" t="n"/>
      <c r="R52" s="14">
        <f>IF(C52="","",COUNTIF(L52:Q52,"Yes"))</f>
        <v/>
      </c>
      <c r="S52" s="11" t="n"/>
      <c r="T52" s="11" t="n"/>
      <c r="U52" s="11" t="n"/>
      <c r="V52" s="14">
        <f>IF(U52="Yes",IF(R52=6,"OK","Coverage gap"),"")</f>
        <v/>
      </c>
      <c r="W52" s="11" t="n"/>
      <c r="X52" s="11" t="n"/>
      <c r="Y52" s="15" t="n"/>
      <c r="Z52" s="11" t="n"/>
    </row>
    <row r="53" ht="18" customHeight="1">
      <c r="A53" s="14">
        <f>IF(B53="","",UPPER(LEFT(B53,2))&amp;TEXT(COUNTIF(B$2:B53,B53),"00"))</f>
        <v/>
      </c>
      <c r="B53" s="11" t="n"/>
      <c r="C53" s="11" t="n"/>
      <c r="D53" s="11" t="n"/>
      <c r="E53" s="11" t="n"/>
      <c r="F53" s="11" t="n"/>
      <c r="G53" s="11" t="n"/>
      <c r="H53" s="11" t="n"/>
      <c r="I53" s="11" t="n"/>
      <c r="J53" s="11" t="n"/>
      <c r="K53" s="15" t="n"/>
      <c r="L53" s="11" t="n"/>
      <c r="M53" s="11" t="n"/>
      <c r="N53" s="11" t="n"/>
      <c r="O53" s="11" t="n"/>
      <c r="P53" s="11" t="n"/>
      <c r="Q53" s="11" t="n"/>
      <c r="R53" s="14">
        <f>IF(C53="","",COUNTIF(L53:Q53,"Yes"))</f>
        <v/>
      </c>
      <c r="S53" s="11" t="n"/>
      <c r="T53" s="11" t="n"/>
      <c r="U53" s="11" t="n"/>
      <c r="V53" s="14">
        <f>IF(U53="Yes",IF(R53=6,"OK","Coverage gap"),"")</f>
        <v/>
      </c>
      <c r="W53" s="11" t="n"/>
      <c r="X53" s="11" t="n"/>
      <c r="Y53" s="15" t="n"/>
      <c r="Z53" s="11" t="n"/>
    </row>
    <row r="54" ht="18" customHeight="1">
      <c r="A54" s="14">
        <f>IF(B54="","",UPPER(LEFT(B54,2))&amp;TEXT(COUNTIF(B$2:B54,B54),"00"))</f>
        <v/>
      </c>
      <c r="B54" s="11" t="n"/>
      <c r="C54" s="11" t="n"/>
      <c r="D54" s="11" t="n"/>
      <c r="E54" s="11" t="n"/>
      <c r="F54" s="11" t="n"/>
      <c r="G54" s="11" t="n"/>
      <c r="H54" s="11" t="n"/>
      <c r="I54" s="11" t="n"/>
      <c r="J54" s="11" t="n"/>
      <c r="K54" s="15" t="n"/>
      <c r="L54" s="11" t="n"/>
      <c r="M54" s="11" t="n"/>
      <c r="N54" s="11" t="n"/>
      <c r="O54" s="11" t="n"/>
      <c r="P54" s="11" t="n"/>
      <c r="Q54" s="11" t="n"/>
      <c r="R54" s="14">
        <f>IF(C54="","",COUNTIF(L54:Q54,"Yes"))</f>
        <v/>
      </c>
      <c r="S54" s="11" t="n"/>
      <c r="T54" s="11" t="n"/>
      <c r="U54" s="11" t="n"/>
      <c r="V54" s="14">
        <f>IF(U54="Yes",IF(R54=6,"OK","Coverage gap"),"")</f>
        <v/>
      </c>
      <c r="W54" s="11" t="n"/>
      <c r="X54" s="11" t="n"/>
      <c r="Y54" s="15" t="n"/>
      <c r="Z54" s="11" t="n"/>
    </row>
    <row r="55" ht="18" customHeight="1">
      <c r="A55" s="14">
        <f>IF(B55="","",UPPER(LEFT(B55,2))&amp;TEXT(COUNTIF(B$2:B55,B55),"00"))</f>
        <v/>
      </c>
      <c r="B55" s="11" t="n"/>
      <c r="C55" s="11" t="n"/>
      <c r="D55" s="11" t="n"/>
      <c r="E55" s="11" t="n"/>
      <c r="F55" s="11" t="n"/>
      <c r="G55" s="11" t="n"/>
      <c r="H55" s="11" t="n"/>
      <c r="I55" s="11" t="n"/>
      <c r="J55" s="11" t="n"/>
      <c r="K55" s="15" t="n"/>
      <c r="L55" s="11" t="n"/>
      <c r="M55" s="11" t="n"/>
      <c r="N55" s="11" t="n"/>
      <c r="O55" s="11" t="n"/>
      <c r="P55" s="11" t="n"/>
      <c r="Q55" s="11" t="n"/>
      <c r="R55" s="14">
        <f>IF(C55="","",COUNTIF(L55:Q55,"Yes"))</f>
        <v/>
      </c>
      <c r="S55" s="11" t="n"/>
      <c r="T55" s="11" t="n"/>
      <c r="U55" s="11" t="n"/>
      <c r="V55" s="14">
        <f>IF(U55="Yes",IF(R55=6,"OK","Coverage gap"),"")</f>
        <v/>
      </c>
      <c r="W55" s="11" t="n"/>
      <c r="X55" s="11" t="n"/>
      <c r="Y55" s="15" t="n"/>
      <c r="Z55" s="11" t="n"/>
    </row>
    <row r="56" ht="18" customHeight="1">
      <c r="A56" s="14">
        <f>IF(B56="","",UPPER(LEFT(B56,2))&amp;TEXT(COUNTIF(B$2:B56,B56),"00"))</f>
        <v/>
      </c>
      <c r="B56" s="11" t="n"/>
      <c r="C56" s="11" t="n"/>
      <c r="D56" s="11" t="n"/>
      <c r="E56" s="11" t="n"/>
      <c r="F56" s="11" t="n"/>
      <c r="G56" s="11" t="n"/>
      <c r="H56" s="11" t="n"/>
      <c r="I56" s="11" t="n"/>
      <c r="J56" s="11" t="n"/>
      <c r="K56" s="15" t="n"/>
      <c r="L56" s="11" t="n"/>
      <c r="M56" s="11" t="n"/>
      <c r="N56" s="11" t="n"/>
      <c r="O56" s="11" t="n"/>
      <c r="P56" s="11" t="n"/>
      <c r="Q56" s="11" t="n"/>
      <c r="R56" s="14">
        <f>IF(C56="","",COUNTIF(L56:Q56,"Yes"))</f>
        <v/>
      </c>
      <c r="S56" s="11" t="n"/>
      <c r="T56" s="11" t="n"/>
      <c r="U56" s="11" t="n"/>
      <c r="V56" s="14">
        <f>IF(U56="Yes",IF(R56=6,"OK","Coverage gap"),"")</f>
        <v/>
      </c>
      <c r="W56" s="11" t="n"/>
      <c r="X56" s="11" t="n"/>
      <c r="Y56" s="15" t="n"/>
      <c r="Z56" s="11" t="n"/>
    </row>
    <row r="57" ht="18" customHeight="1">
      <c r="A57" s="14">
        <f>IF(B57="","",UPPER(LEFT(B57,2))&amp;TEXT(COUNTIF(B$2:B57,B57),"00"))</f>
        <v/>
      </c>
      <c r="B57" s="11" t="n"/>
      <c r="C57" s="11" t="n"/>
      <c r="D57" s="11" t="n"/>
      <c r="E57" s="11" t="n"/>
      <c r="F57" s="11" t="n"/>
      <c r="G57" s="11" t="n"/>
      <c r="H57" s="11" t="n"/>
      <c r="I57" s="11" t="n"/>
      <c r="J57" s="11" t="n"/>
      <c r="K57" s="15" t="n"/>
      <c r="L57" s="11" t="n"/>
      <c r="M57" s="11" t="n"/>
      <c r="N57" s="11" t="n"/>
      <c r="O57" s="11" t="n"/>
      <c r="P57" s="11" t="n"/>
      <c r="Q57" s="11" t="n"/>
      <c r="R57" s="14">
        <f>IF(C57="","",COUNTIF(L57:Q57,"Yes"))</f>
        <v/>
      </c>
      <c r="S57" s="11" t="n"/>
      <c r="T57" s="11" t="n"/>
      <c r="U57" s="11" t="n"/>
      <c r="V57" s="14">
        <f>IF(U57="Yes",IF(R57=6,"OK","Coverage gap"),"")</f>
        <v/>
      </c>
      <c r="W57" s="11" t="n"/>
      <c r="X57" s="11" t="n"/>
      <c r="Y57" s="15" t="n"/>
      <c r="Z57" s="11" t="n"/>
    </row>
    <row r="58" ht="18" customHeight="1">
      <c r="A58" s="14">
        <f>IF(B58="","",UPPER(LEFT(B58,2))&amp;TEXT(COUNTIF(B$2:B58,B58),"00"))</f>
        <v/>
      </c>
      <c r="B58" s="11" t="n"/>
      <c r="C58" s="11" t="n"/>
      <c r="D58" s="11" t="n"/>
      <c r="E58" s="11" t="n"/>
      <c r="F58" s="11" t="n"/>
      <c r="G58" s="11" t="n"/>
      <c r="H58" s="11" t="n"/>
      <c r="I58" s="11" t="n"/>
      <c r="J58" s="11" t="n"/>
      <c r="K58" s="15" t="n"/>
      <c r="L58" s="11" t="n"/>
      <c r="M58" s="11" t="n"/>
      <c r="N58" s="11" t="n"/>
      <c r="O58" s="11" t="n"/>
      <c r="P58" s="11" t="n"/>
      <c r="Q58" s="11" t="n"/>
      <c r="R58" s="14">
        <f>IF(C58="","",COUNTIF(L58:Q58,"Yes"))</f>
        <v/>
      </c>
      <c r="S58" s="11" t="n"/>
      <c r="T58" s="11" t="n"/>
      <c r="U58" s="11" t="n"/>
      <c r="V58" s="14">
        <f>IF(U58="Yes",IF(R58=6,"OK","Coverage gap"),"")</f>
        <v/>
      </c>
      <c r="W58" s="11" t="n"/>
      <c r="X58" s="11" t="n"/>
      <c r="Y58" s="15" t="n"/>
      <c r="Z58" s="11" t="n"/>
    </row>
    <row r="59" ht="18" customHeight="1">
      <c r="A59" s="14">
        <f>IF(B59="","",UPPER(LEFT(B59,2))&amp;TEXT(COUNTIF(B$2:B59,B59),"00"))</f>
        <v/>
      </c>
      <c r="B59" s="11" t="n"/>
      <c r="C59" s="11" t="n"/>
      <c r="D59" s="11" t="n"/>
      <c r="E59" s="11" t="n"/>
      <c r="F59" s="11" t="n"/>
      <c r="G59" s="11" t="n"/>
      <c r="H59" s="11" t="n"/>
      <c r="I59" s="11" t="n"/>
      <c r="J59" s="11" t="n"/>
      <c r="K59" s="15" t="n"/>
      <c r="L59" s="11" t="n"/>
      <c r="M59" s="11" t="n"/>
      <c r="N59" s="11" t="n"/>
      <c r="O59" s="11" t="n"/>
      <c r="P59" s="11" t="n"/>
      <c r="Q59" s="11" t="n"/>
      <c r="R59" s="14">
        <f>IF(C59="","",COUNTIF(L59:Q59,"Yes"))</f>
        <v/>
      </c>
      <c r="S59" s="11" t="n"/>
      <c r="T59" s="11" t="n"/>
      <c r="U59" s="11" t="n"/>
      <c r="V59" s="14">
        <f>IF(U59="Yes",IF(R59=6,"OK","Coverage gap"),"")</f>
        <v/>
      </c>
      <c r="W59" s="11" t="n"/>
      <c r="X59" s="11" t="n"/>
      <c r="Y59" s="15" t="n"/>
      <c r="Z59" s="11" t="n"/>
    </row>
    <row r="60" ht="18" customHeight="1">
      <c r="A60" s="14">
        <f>IF(B60="","",UPPER(LEFT(B60,2))&amp;TEXT(COUNTIF(B$2:B60,B60),"00"))</f>
        <v/>
      </c>
      <c r="B60" s="11" t="n"/>
      <c r="C60" s="11" t="n"/>
      <c r="D60" s="11" t="n"/>
      <c r="E60" s="11" t="n"/>
      <c r="F60" s="11" t="n"/>
      <c r="G60" s="11" t="n"/>
      <c r="H60" s="11" t="n"/>
      <c r="I60" s="11" t="n"/>
      <c r="J60" s="11" t="n"/>
      <c r="K60" s="15" t="n"/>
      <c r="L60" s="11" t="n"/>
      <c r="M60" s="11" t="n"/>
      <c r="N60" s="11" t="n"/>
      <c r="O60" s="11" t="n"/>
      <c r="P60" s="11" t="n"/>
      <c r="Q60" s="11" t="n"/>
      <c r="R60" s="14">
        <f>IF(C60="","",COUNTIF(L60:Q60,"Yes"))</f>
        <v/>
      </c>
      <c r="S60" s="11" t="n"/>
      <c r="T60" s="11" t="n"/>
      <c r="U60" s="11" t="n"/>
      <c r="V60" s="14">
        <f>IF(U60="Yes",IF(R60=6,"OK","Coverage gap"),"")</f>
        <v/>
      </c>
      <c r="W60" s="11" t="n"/>
      <c r="X60" s="11" t="n"/>
      <c r="Y60" s="15" t="n"/>
      <c r="Z60" s="11" t="n"/>
    </row>
    <row r="61" ht="18" customHeight="1">
      <c r="A61" s="14">
        <f>IF(B61="","",UPPER(LEFT(B61,2))&amp;TEXT(COUNTIF(B$2:B61,B61),"00"))</f>
        <v/>
      </c>
      <c r="B61" s="11" t="n"/>
      <c r="C61" s="11" t="n"/>
      <c r="D61" s="11" t="n"/>
      <c r="E61" s="11" t="n"/>
      <c r="F61" s="11" t="n"/>
      <c r="G61" s="11" t="n"/>
      <c r="H61" s="11" t="n"/>
      <c r="I61" s="11" t="n"/>
      <c r="J61" s="11" t="n"/>
      <c r="K61" s="15" t="n"/>
      <c r="L61" s="11" t="n"/>
      <c r="M61" s="11" t="n"/>
      <c r="N61" s="11" t="n"/>
      <c r="O61" s="11" t="n"/>
      <c r="P61" s="11" t="n"/>
      <c r="Q61" s="11" t="n"/>
      <c r="R61" s="14">
        <f>IF(C61="","",COUNTIF(L61:Q61,"Yes"))</f>
        <v/>
      </c>
      <c r="S61" s="11" t="n"/>
      <c r="T61" s="11" t="n"/>
      <c r="U61" s="11" t="n"/>
      <c r="V61" s="14">
        <f>IF(U61="Yes",IF(R61=6,"OK","Coverage gap"),"")</f>
        <v/>
      </c>
      <c r="W61" s="11" t="n"/>
      <c r="X61" s="11" t="n"/>
      <c r="Y61" s="15" t="n"/>
      <c r="Z61" s="11" t="n"/>
    </row>
    <row r="62" ht="18" customHeight="1">
      <c r="A62" s="14">
        <f>IF(B62="","",UPPER(LEFT(B62,2))&amp;TEXT(COUNTIF(B$2:B62,B62),"00"))</f>
        <v/>
      </c>
      <c r="B62" s="11" t="n"/>
      <c r="C62" s="11" t="n"/>
      <c r="D62" s="11" t="n"/>
      <c r="E62" s="11" t="n"/>
      <c r="F62" s="11" t="n"/>
      <c r="G62" s="11" t="n"/>
      <c r="H62" s="11" t="n"/>
      <c r="I62" s="11" t="n"/>
      <c r="J62" s="11" t="n"/>
      <c r="K62" s="15" t="n"/>
      <c r="L62" s="11" t="n"/>
      <c r="M62" s="11" t="n"/>
      <c r="N62" s="11" t="n"/>
      <c r="O62" s="11" t="n"/>
      <c r="P62" s="11" t="n"/>
      <c r="Q62" s="11" t="n"/>
      <c r="R62" s="14">
        <f>IF(C62="","",COUNTIF(L62:Q62,"Yes"))</f>
        <v/>
      </c>
      <c r="S62" s="11" t="n"/>
      <c r="T62" s="11" t="n"/>
      <c r="U62" s="11" t="n"/>
      <c r="V62" s="14">
        <f>IF(U62="Yes",IF(R62=6,"OK","Coverage gap"),"")</f>
        <v/>
      </c>
      <c r="W62" s="11" t="n"/>
      <c r="X62" s="11" t="n"/>
      <c r="Y62" s="15" t="n"/>
      <c r="Z62" s="11" t="n"/>
    </row>
    <row r="63" ht="18" customHeight="1">
      <c r="A63" s="14">
        <f>IF(B63="","",UPPER(LEFT(B63,2))&amp;TEXT(COUNTIF(B$2:B63,B63),"00"))</f>
        <v/>
      </c>
      <c r="B63" s="11" t="n"/>
      <c r="C63" s="11" t="n"/>
      <c r="D63" s="11" t="n"/>
      <c r="E63" s="11" t="n"/>
      <c r="F63" s="11" t="n"/>
      <c r="G63" s="11" t="n"/>
      <c r="H63" s="11" t="n"/>
      <c r="I63" s="11" t="n"/>
      <c r="J63" s="11" t="n"/>
      <c r="K63" s="15" t="n"/>
      <c r="L63" s="11" t="n"/>
      <c r="M63" s="11" t="n"/>
      <c r="N63" s="11" t="n"/>
      <c r="O63" s="11" t="n"/>
      <c r="P63" s="11" t="n"/>
      <c r="Q63" s="11" t="n"/>
      <c r="R63" s="14">
        <f>IF(C63="","",COUNTIF(L63:Q63,"Yes"))</f>
        <v/>
      </c>
      <c r="S63" s="11" t="n"/>
      <c r="T63" s="11" t="n"/>
      <c r="U63" s="11" t="n"/>
      <c r="V63" s="14">
        <f>IF(U63="Yes",IF(R63=6,"OK","Coverage gap"),"")</f>
        <v/>
      </c>
      <c r="W63" s="11" t="n"/>
      <c r="X63" s="11" t="n"/>
      <c r="Y63" s="15" t="n"/>
      <c r="Z63" s="11" t="n"/>
    </row>
    <row r="64" ht="18" customHeight="1">
      <c r="A64" s="14">
        <f>IF(B64="","",UPPER(LEFT(B64,2))&amp;TEXT(COUNTIF(B$2:B64,B64),"00"))</f>
        <v/>
      </c>
      <c r="B64" s="11" t="n"/>
      <c r="C64" s="11" t="n"/>
      <c r="D64" s="11" t="n"/>
      <c r="E64" s="11" t="n"/>
      <c r="F64" s="11" t="n"/>
      <c r="G64" s="11" t="n"/>
      <c r="H64" s="11" t="n"/>
      <c r="I64" s="11" t="n"/>
      <c r="J64" s="11" t="n"/>
      <c r="K64" s="15" t="n"/>
      <c r="L64" s="11" t="n"/>
      <c r="M64" s="11" t="n"/>
      <c r="N64" s="11" t="n"/>
      <c r="O64" s="11" t="n"/>
      <c r="P64" s="11" t="n"/>
      <c r="Q64" s="11" t="n"/>
      <c r="R64" s="14">
        <f>IF(C64="","",COUNTIF(L64:Q64,"Yes"))</f>
        <v/>
      </c>
      <c r="S64" s="11" t="n"/>
      <c r="T64" s="11" t="n"/>
      <c r="U64" s="11" t="n"/>
      <c r="V64" s="14">
        <f>IF(U64="Yes",IF(R64=6,"OK","Coverage gap"),"")</f>
        <v/>
      </c>
      <c r="W64" s="11" t="n"/>
      <c r="X64" s="11" t="n"/>
      <c r="Y64" s="15" t="n"/>
      <c r="Z64" s="11" t="n"/>
    </row>
    <row r="65" ht="18" customHeight="1">
      <c r="A65" s="14">
        <f>IF(B65="","",UPPER(LEFT(B65,2))&amp;TEXT(COUNTIF(B$2:B65,B65),"00"))</f>
        <v/>
      </c>
      <c r="B65" s="11" t="n"/>
      <c r="C65" s="11" t="n"/>
      <c r="D65" s="11" t="n"/>
      <c r="E65" s="11" t="n"/>
      <c r="F65" s="11" t="n"/>
      <c r="G65" s="11" t="n"/>
      <c r="H65" s="11" t="n"/>
      <c r="I65" s="11" t="n"/>
      <c r="J65" s="11" t="n"/>
      <c r="K65" s="15" t="n"/>
      <c r="L65" s="11" t="n"/>
      <c r="M65" s="11" t="n"/>
      <c r="N65" s="11" t="n"/>
      <c r="O65" s="11" t="n"/>
      <c r="P65" s="11" t="n"/>
      <c r="Q65" s="11" t="n"/>
      <c r="R65" s="14">
        <f>IF(C65="","",COUNTIF(L65:Q65,"Yes"))</f>
        <v/>
      </c>
      <c r="S65" s="11" t="n"/>
      <c r="T65" s="11" t="n"/>
      <c r="U65" s="11" t="n"/>
      <c r="V65" s="14">
        <f>IF(U65="Yes",IF(R65=6,"OK","Coverage gap"),"")</f>
        <v/>
      </c>
      <c r="W65" s="11" t="n"/>
      <c r="X65" s="11" t="n"/>
      <c r="Y65" s="15" t="n"/>
      <c r="Z65" s="11" t="n"/>
    </row>
    <row r="66" ht="18" customHeight="1">
      <c r="A66" s="14">
        <f>IF(B66="","",UPPER(LEFT(B66,2))&amp;TEXT(COUNTIF(B$2:B66,B66),"00"))</f>
        <v/>
      </c>
      <c r="B66" s="11" t="n"/>
      <c r="C66" s="11" t="n"/>
      <c r="D66" s="11" t="n"/>
      <c r="E66" s="11" t="n"/>
      <c r="F66" s="11" t="n"/>
      <c r="G66" s="11" t="n"/>
      <c r="H66" s="11" t="n"/>
      <c r="I66" s="11" t="n"/>
      <c r="J66" s="11" t="n"/>
      <c r="K66" s="15" t="n"/>
      <c r="L66" s="11" t="n"/>
      <c r="M66" s="11" t="n"/>
      <c r="N66" s="11" t="n"/>
      <c r="O66" s="11" t="n"/>
      <c r="P66" s="11" t="n"/>
      <c r="Q66" s="11" t="n"/>
      <c r="R66" s="14">
        <f>IF(C66="","",COUNTIF(L66:Q66,"Yes"))</f>
        <v/>
      </c>
      <c r="S66" s="11" t="n"/>
      <c r="T66" s="11" t="n"/>
      <c r="U66" s="11" t="n"/>
      <c r="V66" s="14">
        <f>IF(U66="Yes",IF(R66=6,"OK","Coverage gap"),"")</f>
        <v/>
      </c>
      <c r="W66" s="11" t="n"/>
      <c r="X66" s="11" t="n"/>
      <c r="Y66" s="15" t="n"/>
      <c r="Z66" s="11" t="n"/>
    </row>
    <row r="67" ht="18" customHeight="1">
      <c r="A67" s="14">
        <f>IF(B67="","",UPPER(LEFT(B67,2))&amp;TEXT(COUNTIF(B$2:B67,B67),"00"))</f>
        <v/>
      </c>
      <c r="B67" s="11" t="n"/>
      <c r="C67" s="11" t="n"/>
      <c r="D67" s="11" t="n"/>
      <c r="E67" s="11" t="n"/>
      <c r="F67" s="11" t="n"/>
      <c r="G67" s="11" t="n"/>
      <c r="H67" s="11" t="n"/>
      <c r="I67" s="11" t="n"/>
      <c r="J67" s="11" t="n"/>
      <c r="K67" s="15" t="n"/>
      <c r="L67" s="11" t="n"/>
      <c r="M67" s="11" t="n"/>
      <c r="N67" s="11" t="n"/>
      <c r="O67" s="11" t="n"/>
      <c r="P67" s="11" t="n"/>
      <c r="Q67" s="11" t="n"/>
      <c r="R67" s="14">
        <f>IF(C67="","",COUNTIF(L67:Q67,"Yes"))</f>
        <v/>
      </c>
      <c r="S67" s="11" t="n"/>
      <c r="T67" s="11" t="n"/>
      <c r="U67" s="11" t="n"/>
      <c r="V67" s="14">
        <f>IF(U67="Yes",IF(R67=6,"OK","Coverage gap"),"")</f>
        <v/>
      </c>
      <c r="W67" s="11" t="n"/>
      <c r="X67" s="11" t="n"/>
      <c r="Y67" s="15" t="n"/>
      <c r="Z67" s="11" t="n"/>
    </row>
    <row r="68" ht="18" customHeight="1">
      <c r="A68" s="14">
        <f>IF(B68="","",UPPER(LEFT(B68,2))&amp;TEXT(COUNTIF(B$2:B68,B68),"00"))</f>
        <v/>
      </c>
      <c r="B68" s="11" t="n"/>
      <c r="C68" s="11" t="n"/>
      <c r="D68" s="11" t="n"/>
      <c r="E68" s="11" t="n"/>
      <c r="F68" s="11" t="n"/>
      <c r="G68" s="11" t="n"/>
      <c r="H68" s="11" t="n"/>
      <c r="I68" s="11" t="n"/>
      <c r="J68" s="11" t="n"/>
      <c r="K68" s="15" t="n"/>
      <c r="L68" s="11" t="n"/>
      <c r="M68" s="11" t="n"/>
      <c r="N68" s="11" t="n"/>
      <c r="O68" s="11" t="n"/>
      <c r="P68" s="11" t="n"/>
      <c r="Q68" s="11" t="n"/>
      <c r="R68" s="14">
        <f>IF(C68="","",COUNTIF(L68:Q68,"Yes"))</f>
        <v/>
      </c>
      <c r="S68" s="11" t="n"/>
      <c r="T68" s="11" t="n"/>
      <c r="U68" s="11" t="n"/>
      <c r="V68" s="14">
        <f>IF(U68="Yes",IF(R68=6,"OK","Coverage gap"),"")</f>
        <v/>
      </c>
      <c r="W68" s="11" t="n"/>
      <c r="X68" s="11" t="n"/>
      <c r="Y68" s="15" t="n"/>
      <c r="Z68" s="11" t="n"/>
    </row>
    <row r="69" ht="18" customHeight="1">
      <c r="A69" s="14">
        <f>IF(B69="","",UPPER(LEFT(B69,2))&amp;TEXT(COUNTIF(B$2:B69,B69),"00"))</f>
        <v/>
      </c>
      <c r="B69" s="11" t="n"/>
      <c r="C69" s="11" t="n"/>
      <c r="D69" s="11" t="n"/>
      <c r="E69" s="11" t="n"/>
      <c r="F69" s="11" t="n"/>
      <c r="G69" s="11" t="n"/>
      <c r="H69" s="11" t="n"/>
      <c r="I69" s="11" t="n"/>
      <c r="J69" s="11" t="n"/>
      <c r="K69" s="15" t="n"/>
      <c r="L69" s="11" t="n"/>
      <c r="M69" s="11" t="n"/>
      <c r="N69" s="11" t="n"/>
      <c r="O69" s="11" t="n"/>
      <c r="P69" s="11" t="n"/>
      <c r="Q69" s="11" t="n"/>
      <c r="R69" s="14">
        <f>IF(C69="","",COUNTIF(L69:Q69,"Yes"))</f>
        <v/>
      </c>
      <c r="S69" s="11" t="n"/>
      <c r="T69" s="11" t="n"/>
      <c r="U69" s="11" t="n"/>
      <c r="V69" s="14">
        <f>IF(U69="Yes",IF(R69=6,"OK","Coverage gap"),"")</f>
        <v/>
      </c>
      <c r="W69" s="11" t="n"/>
      <c r="X69" s="11" t="n"/>
      <c r="Y69" s="15" t="n"/>
      <c r="Z69" s="11" t="n"/>
    </row>
    <row r="70" ht="18" customHeight="1">
      <c r="A70" s="14">
        <f>IF(B70="","",UPPER(LEFT(B70,2))&amp;TEXT(COUNTIF(B$2:B70,B70),"00"))</f>
        <v/>
      </c>
      <c r="B70" s="11" t="n"/>
      <c r="C70" s="11" t="n"/>
      <c r="D70" s="11" t="n"/>
      <c r="E70" s="11" t="n"/>
      <c r="F70" s="11" t="n"/>
      <c r="G70" s="11" t="n"/>
      <c r="H70" s="11" t="n"/>
      <c r="I70" s="11" t="n"/>
      <c r="J70" s="11" t="n"/>
      <c r="K70" s="15" t="n"/>
      <c r="L70" s="11" t="n"/>
      <c r="M70" s="11" t="n"/>
      <c r="N70" s="11" t="n"/>
      <c r="O70" s="11" t="n"/>
      <c r="P70" s="11" t="n"/>
      <c r="Q70" s="11" t="n"/>
      <c r="R70" s="14">
        <f>IF(C70="","",COUNTIF(L70:Q70,"Yes"))</f>
        <v/>
      </c>
      <c r="S70" s="11" t="n"/>
      <c r="T70" s="11" t="n"/>
      <c r="U70" s="11" t="n"/>
      <c r="V70" s="14">
        <f>IF(U70="Yes",IF(R70=6,"OK","Coverage gap"),"")</f>
        <v/>
      </c>
      <c r="W70" s="11" t="n"/>
      <c r="X70" s="11" t="n"/>
      <c r="Y70" s="15" t="n"/>
      <c r="Z70" s="11" t="n"/>
    </row>
    <row r="71" ht="18" customHeight="1">
      <c r="A71" s="14">
        <f>IF(B71="","",UPPER(LEFT(B71,2))&amp;TEXT(COUNTIF(B$2:B71,B71),"00"))</f>
        <v/>
      </c>
      <c r="B71" s="11" t="n"/>
      <c r="C71" s="11" t="n"/>
      <c r="D71" s="11" t="n"/>
      <c r="E71" s="11" t="n"/>
      <c r="F71" s="11" t="n"/>
      <c r="G71" s="11" t="n"/>
      <c r="H71" s="11" t="n"/>
      <c r="I71" s="11" t="n"/>
      <c r="J71" s="11" t="n"/>
      <c r="K71" s="15" t="n"/>
      <c r="L71" s="11" t="n"/>
      <c r="M71" s="11" t="n"/>
      <c r="N71" s="11" t="n"/>
      <c r="O71" s="11" t="n"/>
      <c r="P71" s="11" t="n"/>
      <c r="Q71" s="11" t="n"/>
      <c r="R71" s="14">
        <f>IF(C71="","",COUNTIF(L71:Q71,"Yes"))</f>
        <v/>
      </c>
      <c r="S71" s="11" t="n"/>
      <c r="T71" s="11" t="n"/>
      <c r="U71" s="11" t="n"/>
      <c r="V71" s="14">
        <f>IF(U71="Yes",IF(R71=6,"OK","Coverage gap"),"")</f>
        <v/>
      </c>
      <c r="W71" s="11" t="n"/>
      <c r="X71" s="11" t="n"/>
      <c r="Y71" s="15" t="n"/>
      <c r="Z71" s="11" t="n"/>
    </row>
    <row r="72" ht="18" customHeight="1">
      <c r="A72" s="14">
        <f>IF(B72="","",UPPER(LEFT(B72,2))&amp;TEXT(COUNTIF(B$2:B72,B72),"00"))</f>
        <v/>
      </c>
      <c r="B72" s="11" t="n"/>
      <c r="C72" s="11" t="n"/>
      <c r="D72" s="11" t="n"/>
      <c r="E72" s="11" t="n"/>
      <c r="F72" s="11" t="n"/>
      <c r="G72" s="11" t="n"/>
      <c r="H72" s="11" t="n"/>
      <c r="I72" s="11" t="n"/>
      <c r="J72" s="11" t="n"/>
      <c r="K72" s="15" t="n"/>
      <c r="L72" s="11" t="n"/>
      <c r="M72" s="11" t="n"/>
      <c r="N72" s="11" t="n"/>
      <c r="O72" s="11" t="n"/>
      <c r="P72" s="11" t="n"/>
      <c r="Q72" s="11" t="n"/>
      <c r="R72" s="14">
        <f>IF(C72="","",COUNTIF(L72:Q72,"Yes"))</f>
        <v/>
      </c>
      <c r="S72" s="11" t="n"/>
      <c r="T72" s="11" t="n"/>
      <c r="U72" s="11" t="n"/>
      <c r="V72" s="14">
        <f>IF(U72="Yes",IF(R72=6,"OK","Coverage gap"),"")</f>
        <v/>
      </c>
      <c r="W72" s="11" t="n"/>
      <c r="X72" s="11" t="n"/>
      <c r="Y72" s="15" t="n"/>
      <c r="Z72" s="11" t="n"/>
    </row>
    <row r="73" ht="18" customHeight="1">
      <c r="A73" s="14">
        <f>IF(B73="","",UPPER(LEFT(B73,2))&amp;TEXT(COUNTIF(B$2:B73,B73),"00"))</f>
        <v/>
      </c>
      <c r="B73" s="11" t="n"/>
      <c r="C73" s="11" t="n"/>
      <c r="D73" s="11" t="n"/>
      <c r="E73" s="11" t="n"/>
      <c r="F73" s="11" t="n"/>
      <c r="G73" s="11" t="n"/>
      <c r="H73" s="11" t="n"/>
      <c r="I73" s="11" t="n"/>
      <c r="J73" s="11" t="n"/>
      <c r="K73" s="15" t="n"/>
      <c r="L73" s="11" t="n"/>
      <c r="M73" s="11" t="n"/>
      <c r="N73" s="11" t="n"/>
      <c r="O73" s="11" t="n"/>
      <c r="P73" s="11" t="n"/>
      <c r="Q73" s="11" t="n"/>
      <c r="R73" s="14">
        <f>IF(C73="","",COUNTIF(L73:Q73,"Yes"))</f>
        <v/>
      </c>
      <c r="S73" s="11" t="n"/>
      <c r="T73" s="11" t="n"/>
      <c r="U73" s="11" t="n"/>
      <c r="V73" s="14">
        <f>IF(U73="Yes",IF(R73=6,"OK","Coverage gap"),"")</f>
        <v/>
      </c>
      <c r="W73" s="11" t="n"/>
      <c r="X73" s="11" t="n"/>
      <c r="Y73" s="15" t="n"/>
      <c r="Z73" s="11" t="n"/>
    </row>
    <row r="74" ht="18" customHeight="1">
      <c r="A74" s="14">
        <f>IF(B74="","",UPPER(LEFT(B74,2))&amp;TEXT(COUNTIF(B$2:B74,B74),"00"))</f>
        <v/>
      </c>
      <c r="B74" s="11" t="n"/>
      <c r="C74" s="11" t="n"/>
      <c r="D74" s="11" t="n"/>
      <c r="E74" s="11" t="n"/>
      <c r="F74" s="11" t="n"/>
      <c r="G74" s="11" t="n"/>
      <c r="H74" s="11" t="n"/>
      <c r="I74" s="11" t="n"/>
      <c r="J74" s="11" t="n"/>
      <c r="K74" s="15" t="n"/>
      <c r="L74" s="11" t="n"/>
      <c r="M74" s="11" t="n"/>
      <c r="N74" s="11" t="n"/>
      <c r="O74" s="11" t="n"/>
      <c r="P74" s="11" t="n"/>
      <c r="Q74" s="11" t="n"/>
      <c r="R74" s="14">
        <f>IF(C74="","",COUNTIF(L74:Q74,"Yes"))</f>
        <v/>
      </c>
      <c r="S74" s="11" t="n"/>
      <c r="T74" s="11" t="n"/>
      <c r="U74" s="11" t="n"/>
      <c r="V74" s="14">
        <f>IF(U74="Yes",IF(R74=6,"OK","Coverage gap"),"")</f>
        <v/>
      </c>
      <c r="W74" s="11" t="n"/>
      <c r="X74" s="11" t="n"/>
      <c r="Y74" s="15" t="n"/>
      <c r="Z74" s="11" t="n"/>
    </row>
    <row r="75" ht="18" customHeight="1">
      <c r="A75" s="14">
        <f>IF(B75="","",UPPER(LEFT(B75,2))&amp;TEXT(COUNTIF(B$2:B75,B75),"00"))</f>
        <v/>
      </c>
      <c r="B75" s="11" t="n"/>
      <c r="C75" s="11" t="n"/>
      <c r="D75" s="11" t="n"/>
      <c r="E75" s="11" t="n"/>
      <c r="F75" s="11" t="n"/>
      <c r="G75" s="11" t="n"/>
      <c r="H75" s="11" t="n"/>
      <c r="I75" s="11" t="n"/>
      <c r="J75" s="11" t="n"/>
      <c r="K75" s="15" t="n"/>
      <c r="L75" s="11" t="n"/>
      <c r="M75" s="11" t="n"/>
      <c r="N75" s="11" t="n"/>
      <c r="O75" s="11" t="n"/>
      <c r="P75" s="11" t="n"/>
      <c r="Q75" s="11" t="n"/>
      <c r="R75" s="14">
        <f>IF(C75="","",COUNTIF(L75:Q75,"Yes"))</f>
        <v/>
      </c>
      <c r="S75" s="11" t="n"/>
      <c r="T75" s="11" t="n"/>
      <c r="U75" s="11" t="n"/>
      <c r="V75" s="14">
        <f>IF(U75="Yes",IF(R75=6,"OK","Coverage gap"),"")</f>
        <v/>
      </c>
      <c r="W75" s="11" t="n"/>
      <c r="X75" s="11" t="n"/>
      <c r="Y75" s="15" t="n"/>
      <c r="Z75" s="11" t="n"/>
    </row>
    <row r="76" ht="18" customHeight="1">
      <c r="A76" s="14">
        <f>IF(B76="","",UPPER(LEFT(B76,2))&amp;TEXT(COUNTIF(B$2:B76,B76),"00"))</f>
        <v/>
      </c>
      <c r="B76" s="11" t="n"/>
      <c r="C76" s="11" t="n"/>
      <c r="D76" s="11" t="n"/>
      <c r="E76" s="11" t="n"/>
      <c r="F76" s="11" t="n"/>
      <c r="G76" s="11" t="n"/>
      <c r="H76" s="11" t="n"/>
      <c r="I76" s="11" t="n"/>
      <c r="J76" s="11" t="n"/>
      <c r="K76" s="15" t="n"/>
      <c r="L76" s="11" t="n"/>
      <c r="M76" s="11" t="n"/>
      <c r="N76" s="11" t="n"/>
      <c r="O76" s="11" t="n"/>
      <c r="P76" s="11" t="n"/>
      <c r="Q76" s="11" t="n"/>
      <c r="R76" s="14">
        <f>IF(C76="","",COUNTIF(L76:Q76,"Yes"))</f>
        <v/>
      </c>
      <c r="S76" s="11" t="n"/>
      <c r="T76" s="11" t="n"/>
      <c r="U76" s="11" t="n"/>
      <c r="V76" s="14">
        <f>IF(U76="Yes",IF(R76=6,"OK","Coverage gap"),"")</f>
        <v/>
      </c>
      <c r="W76" s="11" t="n"/>
      <c r="X76" s="11" t="n"/>
      <c r="Y76" s="15" t="n"/>
      <c r="Z76" s="11" t="n"/>
    </row>
    <row r="77" ht="18" customHeight="1">
      <c r="A77" s="14">
        <f>IF(B77="","",UPPER(LEFT(B77,2))&amp;TEXT(COUNTIF(B$2:B77,B77),"00"))</f>
        <v/>
      </c>
      <c r="B77" s="11" t="n"/>
      <c r="C77" s="11" t="n"/>
      <c r="D77" s="11" t="n"/>
      <c r="E77" s="11" t="n"/>
      <c r="F77" s="11" t="n"/>
      <c r="G77" s="11" t="n"/>
      <c r="H77" s="11" t="n"/>
      <c r="I77" s="11" t="n"/>
      <c r="J77" s="11" t="n"/>
      <c r="K77" s="15" t="n"/>
      <c r="L77" s="11" t="n"/>
      <c r="M77" s="11" t="n"/>
      <c r="N77" s="11" t="n"/>
      <c r="O77" s="11" t="n"/>
      <c r="P77" s="11" t="n"/>
      <c r="Q77" s="11" t="n"/>
      <c r="R77" s="14">
        <f>IF(C77="","",COUNTIF(L77:Q77,"Yes"))</f>
        <v/>
      </c>
      <c r="S77" s="11" t="n"/>
      <c r="T77" s="11" t="n"/>
      <c r="U77" s="11" t="n"/>
      <c r="V77" s="14">
        <f>IF(U77="Yes",IF(R77=6,"OK","Coverage gap"),"")</f>
        <v/>
      </c>
      <c r="W77" s="11" t="n"/>
      <c r="X77" s="11" t="n"/>
      <c r="Y77" s="15" t="n"/>
      <c r="Z77" s="11" t="n"/>
    </row>
    <row r="78" ht="18" customHeight="1">
      <c r="A78" s="14">
        <f>IF(B78="","",UPPER(LEFT(B78,2))&amp;TEXT(COUNTIF(B$2:B78,B78),"00"))</f>
        <v/>
      </c>
      <c r="B78" s="11" t="n"/>
      <c r="C78" s="11" t="n"/>
      <c r="D78" s="11" t="n"/>
      <c r="E78" s="11" t="n"/>
      <c r="F78" s="11" t="n"/>
      <c r="G78" s="11" t="n"/>
      <c r="H78" s="11" t="n"/>
      <c r="I78" s="11" t="n"/>
      <c r="J78" s="11" t="n"/>
      <c r="K78" s="15" t="n"/>
      <c r="L78" s="11" t="n"/>
      <c r="M78" s="11" t="n"/>
      <c r="N78" s="11" t="n"/>
      <c r="O78" s="11" t="n"/>
      <c r="P78" s="11" t="n"/>
      <c r="Q78" s="11" t="n"/>
      <c r="R78" s="14">
        <f>IF(C78="","",COUNTIF(L78:Q78,"Yes"))</f>
        <v/>
      </c>
      <c r="S78" s="11" t="n"/>
      <c r="T78" s="11" t="n"/>
      <c r="U78" s="11" t="n"/>
      <c r="V78" s="14">
        <f>IF(U78="Yes",IF(R78=6,"OK","Coverage gap"),"")</f>
        <v/>
      </c>
      <c r="W78" s="11" t="n"/>
      <c r="X78" s="11" t="n"/>
      <c r="Y78" s="15" t="n"/>
      <c r="Z78" s="11" t="n"/>
    </row>
    <row r="79" ht="18" customHeight="1">
      <c r="A79" s="14">
        <f>IF(B79="","",UPPER(LEFT(B79,2))&amp;TEXT(COUNTIF(B$2:B79,B79),"00"))</f>
        <v/>
      </c>
      <c r="B79" s="11" t="n"/>
      <c r="C79" s="11" t="n"/>
      <c r="D79" s="11" t="n"/>
      <c r="E79" s="11" t="n"/>
      <c r="F79" s="11" t="n"/>
      <c r="G79" s="11" t="n"/>
      <c r="H79" s="11" t="n"/>
      <c r="I79" s="11" t="n"/>
      <c r="J79" s="11" t="n"/>
      <c r="K79" s="15" t="n"/>
      <c r="L79" s="11" t="n"/>
      <c r="M79" s="11" t="n"/>
      <c r="N79" s="11" t="n"/>
      <c r="O79" s="11" t="n"/>
      <c r="P79" s="11" t="n"/>
      <c r="Q79" s="11" t="n"/>
      <c r="R79" s="14">
        <f>IF(C79="","",COUNTIF(L79:Q79,"Yes"))</f>
        <v/>
      </c>
      <c r="S79" s="11" t="n"/>
      <c r="T79" s="11" t="n"/>
      <c r="U79" s="11" t="n"/>
      <c r="V79" s="14">
        <f>IF(U79="Yes",IF(R79=6,"OK","Coverage gap"),"")</f>
        <v/>
      </c>
      <c r="W79" s="11" t="n"/>
      <c r="X79" s="11" t="n"/>
      <c r="Y79" s="15" t="n"/>
      <c r="Z79" s="11" t="n"/>
    </row>
    <row r="80" ht="18" customHeight="1">
      <c r="A80" s="14">
        <f>IF(B80="","",UPPER(LEFT(B80,2))&amp;TEXT(COUNTIF(B$2:B80,B80),"00"))</f>
        <v/>
      </c>
      <c r="B80" s="11" t="n"/>
      <c r="C80" s="11" t="n"/>
      <c r="D80" s="11" t="n"/>
      <c r="E80" s="11" t="n"/>
      <c r="F80" s="11" t="n"/>
      <c r="G80" s="11" t="n"/>
      <c r="H80" s="11" t="n"/>
      <c r="I80" s="11" t="n"/>
      <c r="J80" s="11" t="n"/>
      <c r="K80" s="15" t="n"/>
      <c r="L80" s="11" t="n"/>
      <c r="M80" s="11" t="n"/>
      <c r="N80" s="11" t="n"/>
      <c r="O80" s="11" t="n"/>
      <c r="P80" s="11" t="n"/>
      <c r="Q80" s="11" t="n"/>
      <c r="R80" s="14">
        <f>IF(C80="","",COUNTIF(L80:Q80,"Yes"))</f>
        <v/>
      </c>
      <c r="S80" s="11" t="n"/>
      <c r="T80" s="11" t="n"/>
      <c r="U80" s="11" t="n"/>
      <c r="V80" s="14">
        <f>IF(U80="Yes",IF(R80=6,"OK","Coverage gap"),"")</f>
        <v/>
      </c>
      <c r="W80" s="11" t="n"/>
      <c r="X80" s="11" t="n"/>
      <c r="Y80" s="15" t="n"/>
      <c r="Z80" s="11" t="n"/>
    </row>
    <row r="81" ht="18" customHeight="1">
      <c r="A81" s="14">
        <f>IF(B81="","",UPPER(LEFT(B81,2))&amp;TEXT(COUNTIF(B$2:B81,B81),"00"))</f>
        <v/>
      </c>
      <c r="B81" s="11" t="n"/>
      <c r="C81" s="11" t="n"/>
      <c r="D81" s="11" t="n"/>
      <c r="E81" s="11" t="n"/>
      <c r="F81" s="11" t="n"/>
      <c r="G81" s="11" t="n"/>
      <c r="H81" s="11" t="n"/>
      <c r="I81" s="11" t="n"/>
      <c r="J81" s="11" t="n"/>
      <c r="K81" s="15" t="n"/>
      <c r="L81" s="11" t="n"/>
      <c r="M81" s="11" t="n"/>
      <c r="N81" s="11" t="n"/>
      <c r="O81" s="11" t="n"/>
      <c r="P81" s="11" t="n"/>
      <c r="Q81" s="11" t="n"/>
      <c r="R81" s="14">
        <f>IF(C81="","",COUNTIF(L81:Q81,"Yes"))</f>
        <v/>
      </c>
      <c r="S81" s="11" t="n"/>
      <c r="T81" s="11" t="n"/>
      <c r="U81" s="11" t="n"/>
      <c r="V81" s="14">
        <f>IF(U81="Yes",IF(R81=6,"OK","Coverage gap"),"")</f>
        <v/>
      </c>
      <c r="W81" s="11" t="n"/>
      <c r="X81" s="11" t="n"/>
      <c r="Y81" s="15" t="n"/>
      <c r="Z81" s="11" t="n"/>
    </row>
    <row r="82" ht="18" customHeight="1">
      <c r="A82" s="14">
        <f>IF(B82="","",UPPER(LEFT(B82,2))&amp;TEXT(COUNTIF(B$2:B82,B82),"00"))</f>
        <v/>
      </c>
      <c r="B82" s="11" t="n"/>
      <c r="C82" s="11" t="n"/>
      <c r="D82" s="11" t="n"/>
      <c r="E82" s="11" t="n"/>
      <c r="F82" s="11" t="n"/>
      <c r="G82" s="11" t="n"/>
      <c r="H82" s="11" t="n"/>
      <c r="I82" s="11" t="n"/>
      <c r="J82" s="11" t="n"/>
      <c r="K82" s="15" t="n"/>
      <c r="L82" s="11" t="n"/>
      <c r="M82" s="11" t="n"/>
      <c r="N82" s="11" t="n"/>
      <c r="O82" s="11" t="n"/>
      <c r="P82" s="11" t="n"/>
      <c r="Q82" s="11" t="n"/>
      <c r="R82" s="14">
        <f>IF(C82="","",COUNTIF(L82:Q82,"Yes"))</f>
        <v/>
      </c>
      <c r="S82" s="11" t="n"/>
      <c r="T82" s="11" t="n"/>
      <c r="U82" s="11" t="n"/>
      <c r="V82" s="14">
        <f>IF(U82="Yes",IF(R82=6,"OK","Coverage gap"),"")</f>
        <v/>
      </c>
      <c r="W82" s="11" t="n"/>
      <c r="X82" s="11" t="n"/>
      <c r="Y82" s="15" t="n"/>
      <c r="Z82" s="11" t="n"/>
    </row>
    <row r="83" ht="18" customHeight="1">
      <c r="A83" s="14">
        <f>IF(B83="","",UPPER(LEFT(B83,2))&amp;TEXT(COUNTIF(B$2:B83,B83),"00"))</f>
        <v/>
      </c>
      <c r="B83" s="11" t="n"/>
      <c r="C83" s="11" t="n"/>
      <c r="D83" s="11" t="n"/>
      <c r="E83" s="11" t="n"/>
      <c r="F83" s="11" t="n"/>
      <c r="G83" s="11" t="n"/>
      <c r="H83" s="11" t="n"/>
      <c r="I83" s="11" t="n"/>
      <c r="J83" s="11" t="n"/>
      <c r="K83" s="15" t="n"/>
      <c r="L83" s="11" t="n"/>
      <c r="M83" s="11" t="n"/>
      <c r="N83" s="11" t="n"/>
      <c r="O83" s="11" t="n"/>
      <c r="P83" s="11" t="n"/>
      <c r="Q83" s="11" t="n"/>
      <c r="R83" s="14">
        <f>IF(C83="","",COUNTIF(L83:Q83,"Yes"))</f>
        <v/>
      </c>
      <c r="S83" s="11" t="n"/>
      <c r="T83" s="11" t="n"/>
      <c r="U83" s="11" t="n"/>
      <c r="V83" s="14">
        <f>IF(U83="Yes",IF(R83=6,"OK","Coverage gap"),"")</f>
        <v/>
      </c>
      <c r="W83" s="11" t="n"/>
      <c r="X83" s="11" t="n"/>
      <c r="Y83" s="15" t="n"/>
      <c r="Z83" s="11" t="n"/>
    </row>
    <row r="84" ht="18" customHeight="1">
      <c r="A84" s="14">
        <f>IF(B84="","",UPPER(LEFT(B84,2))&amp;TEXT(COUNTIF(B$2:B84,B84),"00"))</f>
        <v/>
      </c>
      <c r="B84" s="11" t="n"/>
      <c r="C84" s="11" t="n"/>
      <c r="D84" s="11" t="n"/>
      <c r="E84" s="11" t="n"/>
      <c r="F84" s="11" t="n"/>
      <c r="G84" s="11" t="n"/>
      <c r="H84" s="11" t="n"/>
      <c r="I84" s="11" t="n"/>
      <c r="J84" s="11" t="n"/>
      <c r="K84" s="15" t="n"/>
      <c r="L84" s="11" t="n"/>
      <c r="M84" s="11" t="n"/>
      <c r="N84" s="11" t="n"/>
      <c r="O84" s="11" t="n"/>
      <c r="P84" s="11" t="n"/>
      <c r="Q84" s="11" t="n"/>
      <c r="R84" s="14">
        <f>IF(C84="","",COUNTIF(L84:Q84,"Yes"))</f>
        <v/>
      </c>
      <c r="S84" s="11" t="n"/>
      <c r="T84" s="11" t="n"/>
      <c r="U84" s="11" t="n"/>
      <c r="V84" s="14">
        <f>IF(U84="Yes",IF(R84=6,"OK","Coverage gap"),"")</f>
        <v/>
      </c>
      <c r="W84" s="11" t="n"/>
      <c r="X84" s="11" t="n"/>
      <c r="Y84" s="15" t="n"/>
      <c r="Z84" s="11" t="n"/>
    </row>
    <row r="85" ht="18" customHeight="1">
      <c r="A85" s="14">
        <f>IF(B85="","",UPPER(LEFT(B85,2))&amp;TEXT(COUNTIF(B$2:B85,B85),"00"))</f>
        <v/>
      </c>
      <c r="B85" s="11" t="n"/>
      <c r="C85" s="11" t="n"/>
      <c r="D85" s="11" t="n"/>
      <c r="E85" s="11" t="n"/>
      <c r="F85" s="11" t="n"/>
      <c r="G85" s="11" t="n"/>
      <c r="H85" s="11" t="n"/>
      <c r="I85" s="11" t="n"/>
      <c r="J85" s="11" t="n"/>
      <c r="K85" s="15" t="n"/>
      <c r="L85" s="11" t="n"/>
      <c r="M85" s="11" t="n"/>
      <c r="N85" s="11" t="n"/>
      <c r="O85" s="11" t="n"/>
      <c r="P85" s="11" t="n"/>
      <c r="Q85" s="11" t="n"/>
      <c r="R85" s="14">
        <f>IF(C85="","",COUNTIF(L85:Q85,"Yes"))</f>
        <v/>
      </c>
      <c r="S85" s="11" t="n"/>
      <c r="T85" s="11" t="n"/>
      <c r="U85" s="11" t="n"/>
      <c r="V85" s="14">
        <f>IF(U85="Yes",IF(R85=6,"OK","Coverage gap"),"")</f>
        <v/>
      </c>
      <c r="W85" s="11" t="n"/>
      <c r="X85" s="11" t="n"/>
      <c r="Y85" s="15" t="n"/>
      <c r="Z85" s="11" t="n"/>
    </row>
    <row r="86" ht="18" customHeight="1">
      <c r="A86" s="14">
        <f>IF(B86="","",UPPER(LEFT(B86,2))&amp;TEXT(COUNTIF(B$2:B86,B86),"00"))</f>
        <v/>
      </c>
      <c r="B86" s="11" t="n"/>
      <c r="C86" s="11" t="n"/>
      <c r="D86" s="11" t="n"/>
      <c r="E86" s="11" t="n"/>
      <c r="F86" s="11" t="n"/>
      <c r="G86" s="11" t="n"/>
      <c r="H86" s="11" t="n"/>
      <c r="I86" s="11" t="n"/>
      <c r="J86" s="11" t="n"/>
      <c r="K86" s="15" t="n"/>
      <c r="L86" s="11" t="n"/>
      <c r="M86" s="11" t="n"/>
      <c r="N86" s="11" t="n"/>
      <c r="O86" s="11" t="n"/>
      <c r="P86" s="11" t="n"/>
      <c r="Q86" s="11" t="n"/>
      <c r="R86" s="14">
        <f>IF(C86="","",COUNTIF(L86:Q86,"Yes"))</f>
        <v/>
      </c>
      <c r="S86" s="11" t="n"/>
      <c r="T86" s="11" t="n"/>
      <c r="U86" s="11" t="n"/>
      <c r="V86" s="14">
        <f>IF(U86="Yes",IF(R86=6,"OK","Coverage gap"),"")</f>
        <v/>
      </c>
      <c r="W86" s="11" t="n"/>
      <c r="X86" s="11" t="n"/>
      <c r="Y86" s="15" t="n"/>
      <c r="Z86" s="11" t="n"/>
    </row>
    <row r="87" ht="18" customHeight="1">
      <c r="A87" s="14">
        <f>IF(B87="","",UPPER(LEFT(B87,2))&amp;TEXT(COUNTIF(B$2:B87,B87),"00"))</f>
        <v/>
      </c>
      <c r="B87" s="11" t="n"/>
      <c r="C87" s="11" t="n"/>
      <c r="D87" s="11" t="n"/>
      <c r="E87" s="11" t="n"/>
      <c r="F87" s="11" t="n"/>
      <c r="G87" s="11" t="n"/>
      <c r="H87" s="11" t="n"/>
      <c r="I87" s="11" t="n"/>
      <c r="J87" s="11" t="n"/>
      <c r="K87" s="15" t="n"/>
      <c r="L87" s="11" t="n"/>
      <c r="M87" s="11" t="n"/>
      <c r="N87" s="11" t="n"/>
      <c r="O87" s="11" t="n"/>
      <c r="P87" s="11" t="n"/>
      <c r="Q87" s="11" t="n"/>
      <c r="R87" s="14">
        <f>IF(C87="","",COUNTIF(L87:Q87,"Yes"))</f>
        <v/>
      </c>
      <c r="S87" s="11" t="n"/>
      <c r="T87" s="11" t="n"/>
      <c r="U87" s="11" t="n"/>
      <c r="V87" s="14">
        <f>IF(U87="Yes",IF(R87=6,"OK","Coverage gap"),"")</f>
        <v/>
      </c>
      <c r="W87" s="11" t="n"/>
      <c r="X87" s="11" t="n"/>
      <c r="Y87" s="15" t="n"/>
      <c r="Z87" s="11" t="n"/>
    </row>
    <row r="88" ht="18" customHeight="1">
      <c r="A88" s="14">
        <f>IF(B88="","",UPPER(LEFT(B88,2))&amp;TEXT(COUNTIF(B$2:B88,B88),"00"))</f>
        <v/>
      </c>
      <c r="B88" s="11" t="n"/>
      <c r="C88" s="11" t="n"/>
      <c r="D88" s="11" t="n"/>
      <c r="E88" s="11" t="n"/>
      <c r="F88" s="11" t="n"/>
      <c r="G88" s="11" t="n"/>
      <c r="H88" s="11" t="n"/>
      <c r="I88" s="11" t="n"/>
      <c r="J88" s="11" t="n"/>
      <c r="K88" s="15" t="n"/>
      <c r="L88" s="11" t="n"/>
      <c r="M88" s="11" t="n"/>
      <c r="N88" s="11" t="n"/>
      <c r="O88" s="11" t="n"/>
      <c r="P88" s="11" t="n"/>
      <c r="Q88" s="11" t="n"/>
      <c r="R88" s="14">
        <f>IF(C88="","",COUNTIF(L88:Q88,"Yes"))</f>
        <v/>
      </c>
      <c r="S88" s="11" t="n"/>
      <c r="T88" s="11" t="n"/>
      <c r="U88" s="11" t="n"/>
      <c r="V88" s="14">
        <f>IF(U88="Yes",IF(R88=6,"OK","Coverage gap"),"")</f>
        <v/>
      </c>
      <c r="W88" s="11" t="n"/>
      <c r="X88" s="11" t="n"/>
      <c r="Y88" s="15" t="n"/>
      <c r="Z88" s="11" t="n"/>
    </row>
    <row r="89" ht="18" customHeight="1">
      <c r="A89" s="14">
        <f>IF(B89="","",UPPER(LEFT(B89,2))&amp;TEXT(COUNTIF(B$2:B89,B89),"00"))</f>
        <v/>
      </c>
      <c r="B89" s="11" t="n"/>
      <c r="C89" s="11" t="n"/>
      <c r="D89" s="11" t="n"/>
      <c r="E89" s="11" t="n"/>
      <c r="F89" s="11" t="n"/>
      <c r="G89" s="11" t="n"/>
      <c r="H89" s="11" t="n"/>
      <c r="I89" s="11" t="n"/>
      <c r="J89" s="11" t="n"/>
      <c r="K89" s="15" t="n"/>
      <c r="L89" s="11" t="n"/>
      <c r="M89" s="11" t="n"/>
      <c r="N89" s="11" t="n"/>
      <c r="O89" s="11" t="n"/>
      <c r="P89" s="11" t="n"/>
      <c r="Q89" s="11" t="n"/>
      <c r="R89" s="14">
        <f>IF(C89="","",COUNTIF(L89:Q89,"Yes"))</f>
        <v/>
      </c>
      <c r="S89" s="11" t="n"/>
      <c r="T89" s="11" t="n"/>
      <c r="U89" s="11" t="n"/>
      <c r="V89" s="14">
        <f>IF(U89="Yes",IF(R89=6,"OK","Coverage gap"),"")</f>
        <v/>
      </c>
      <c r="W89" s="11" t="n"/>
      <c r="X89" s="11" t="n"/>
      <c r="Y89" s="15" t="n"/>
      <c r="Z89" s="11" t="n"/>
    </row>
    <row r="90" ht="18" customHeight="1">
      <c r="A90" s="14">
        <f>IF(B90="","",UPPER(LEFT(B90,2))&amp;TEXT(COUNTIF(B$2:B90,B90),"00"))</f>
        <v/>
      </c>
      <c r="B90" s="11" t="n"/>
      <c r="C90" s="11" t="n"/>
      <c r="D90" s="11" t="n"/>
      <c r="E90" s="11" t="n"/>
      <c r="F90" s="11" t="n"/>
      <c r="G90" s="11" t="n"/>
      <c r="H90" s="11" t="n"/>
      <c r="I90" s="11" t="n"/>
      <c r="J90" s="11" t="n"/>
      <c r="K90" s="15" t="n"/>
      <c r="L90" s="11" t="n"/>
      <c r="M90" s="11" t="n"/>
      <c r="N90" s="11" t="n"/>
      <c r="O90" s="11" t="n"/>
      <c r="P90" s="11" t="n"/>
      <c r="Q90" s="11" t="n"/>
      <c r="R90" s="14">
        <f>IF(C90="","",COUNTIF(L90:Q90,"Yes"))</f>
        <v/>
      </c>
      <c r="S90" s="11" t="n"/>
      <c r="T90" s="11" t="n"/>
      <c r="U90" s="11" t="n"/>
      <c r="V90" s="14">
        <f>IF(U90="Yes",IF(R90=6,"OK","Coverage gap"),"")</f>
        <v/>
      </c>
      <c r="W90" s="11" t="n"/>
      <c r="X90" s="11" t="n"/>
      <c r="Y90" s="15" t="n"/>
      <c r="Z90" s="11" t="n"/>
    </row>
    <row r="91" ht="18" customHeight="1">
      <c r="A91" s="14">
        <f>IF(B91="","",UPPER(LEFT(B91,2))&amp;TEXT(COUNTIF(B$2:B91,B91),"00"))</f>
        <v/>
      </c>
      <c r="B91" s="11" t="n"/>
      <c r="C91" s="11" t="n"/>
      <c r="D91" s="11" t="n"/>
      <c r="E91" s="11" t="n"/>
      <c r="F91" s="11" t="n"/>
      <c r="G91" s="11" t="n"/>
      <c r="H91" s="11" t="n"/>
      <c r="I91" s="11" t="n"/>
      <c r="J91" s="11" t="n"/>
      <c r="K91" s="15" t="n"/>
      <c r="L91" s="11" t="n"/>
      <c r="M91" s="11" t="n"/>
      <c r="N91" s="11" t="n"/>
      <c r="O91" s="11" t="n"/>
      <c r="P91" s="11" t="n"/>
      <c r="Q91" s="11" t="n"/>
      <c r="R91" s="14">
        <f>IF(C91="","",COUNTIF(L91:Q91,"Yes"))</f>
        <v/>
      </c>
      <c r="S91" s="11" t="n"/>
      <c r="T91" s="11" t="n"/>
      <c r="U91" s="11" t="n"/>
      <c r="V91" s="14">
        <f>IF(U91="Yes",IF(R91=6,"OK","Coverage gap"),"")</f>
        <v/>
      </c>
      <c r="W91" s="11" t="n"/>
      <c r="X91" s="11" t="n"/>
      <c r="Y91" s="15" t="n"/>
      <c r="Z91" s="11" t="n"/>
    </row>
    <row r="92" ht="18" customHeight="1">
      <c r="A92" s="14">
        <f>IF(B92="","",UPPER(LEFT(B92,2))&amp;TEXT(COUNTIF(B$2:B92,B92),"00"))</f>
        <v/>
      </c>
      <c r="B92" s="11" t="n"/>
      <c r="C92" s="11" t="n"/>
      <c r="D92" s="11" t="n"/>
      <c r="E92" s="11" t="n"/>
      <c r="F92" s="11" t="n"/>
      <c r="G92" s="11" t="n"/>
      <c r="H92" s="11" t="n"/>
      <c r="I92" s="11" t="n"/>
      <c r="J92" s="11" t="n"/>
      <c r="K92" s="15" t="n"/>
      <c r="L92" s="11" t="n"/>
      <c r="M92" s="11" t="n"/>
      <c r="N92" s="11" t="n"/>
      <c r="O92" s="11" t="n"/>
      <c r="P92" s="11" t="n"/>
      <c r="Q92" s="11" t="n"/>
      <c r="R92" s="14">
        <f>IF(C92="","",COUNTIF(L92:Q92,"Yes"))</f>
        <v/>
      </c>
      <c r="S92" s="11" t="n"/>
      <c r="T92" s="11" t="n"/>
      <c r="U92" s="11" t="n"/>
      <c r="V92" s="14">
        <f>IF(U92="Yes",IF(R92=6,"OK","Coverage gap"),"")</f>
        <v/>
      </c>
      <c r="W92" s="11" t="n"/>
      <c r="X92" s="11" t="n"/>
      <c r="Y92" s="15" t="n"/>
      <c r="Z92" s="11" t="n"/>
    </row>
    <row r="93" ht="18" customHeight="1">
      <c r="A93" s="14">
        <f>IF(B93="","",UPPER(LEFT(B93,2))&amp;TEXT(COUNTIF(B$2:B93,B93),"00"))</f>
        <v/>
      </c>
      <c r="B93" s="11" t="n"/>
      <c r="C93" s="11" t="n"/>
      <c r="D93" s="11" t="n"/>
      <c r="E93" s="11" t="n"/>
      <c r="F93" s="11" t="n"/>
      <c r="G93" s="11" t="n"/>
      <c r="H93" s="11" t="n"/>
      <c r="I93" s="11" t="n"/>
      <c r="J93" s="11" t="n"/>
      <c r="K93" s="15" t="n"/>
      <c r="L93" s="11" t="n"/>
      <c r="M93" s="11" t="n"/>
      <c r="N93" s="11" t="n"/>
      <c r="O93" s="11" t="n"/>
      <c r="P93" s="11" t="n"/>
      <c r="Q93" s="11" t="n"/>
      <c r="R93" s="14">
        <f>IF(C93="","",COUNTIF(L93:Q93,"Yes"))</f>
        <v/>
      </c>
      <c r="S93" s="11" t="n"/>
      <c r="T93" s="11" t="n"/>
      <c r="U93" s="11" t="n"/>
      <c r="V93" s="14">
        <f>IF(U93="Yes",IF(R93=6,"OK","Coverage gap"),"")</f>
        <v/>
      </c>
      <c r="W93" s="11" t="n"/>
      <c r="X93" s="11" t="n"/>
      <c r="Y93" s="15" t="n"/>
      <c r="Z93" s="11" t="n"/>
    </row>
    <row r="94" ht="18" customHeight="1">
      <c r="A94" s="14">
        <f>IF(B94="","",UPPER(LEFT(B94,2))&amp;TEXT(COUNTIF(B$2:B94,B94),"00"))</f>
        <v/>
      </c>
      <c r="B94" s="11" t="n"/>
      <c r="C94" s="11" t="n"/>
      <c r="D94" s="11" t="n"/>
      <c r="E94" s="11" t="n"/>
      <c r="F94" s="11" t="n"/>
      <c r="G94" s="11" t="n"/>
      <c r="H94" s="11" t="n"/>
      <c r="I94" s="11" t="n"/>
      <c r="J94" s="11" t="n"/>
      <c r="K94" s="15" t="n"/>
      <c r="L94" s="11" t="n"/>
      <c r="M94" s="11" t="n"/>
      <c r="N94" s="11" t="n"/>
      <c r="O94" s="11" t="n"/>
      <c r="P94" s="11" t="n"/>
      <c r="Q94" s="11" t="n"/>
      <c r="R94" s="14">
        <f>IF(C94="","",COUNTIF(L94:Q94,"Yes"))</f>
        <v/>
      </c>
      <c r="S94" s="11" t="n"/>
      <c r="T94" s="11" t="n"/>
      <c r="U94" s="11" t="n"/>
      <c r="V94" s="14">
        <f>IF(U94="Yes",IF(R94=6,"OK","Coverage gap"),"")</f>
        <v/>
      </c>
      <c r="W94" s="11" t="n"/>
      <c r="X94" s="11" t="n"/>
      <c r="Y94" s="15" t="n"/>
      <c r="Z94" s="11" t="n"/>
    </row>
    <row r="95" ht="18" customHeight="1">
      <c r="A95" s="14">
        <f>IF(B95="","",UPPER(LEFT(B95,2))&amp;TEXT(COUNTIF(B$2:B95,B95),"00"))</f>
        <v/>
      </c>
      <c r="B95" s="11" t="n"/>
      <c r="C95" s="11" t="n"/>
      <c r="D95" s="11" t="n"/>
      <c r="E95" s="11" t="n"/>
      <c r="F95" s="11" t="n"/>
      <c r="G95" s="11" t="n"/>
      <c r="H95" s="11" t="n"/>
      <c r="I95" s="11" t="n"/>
      <c r="J95" s="11" t="n"/>
      <c r="K95" s="15" t="n"/>
      <c r="L95" s="11" t="n"/>
      <c r="M95" s="11" t="n"/>
      <c r="N95" s="11" t="n"/>
      <c r="O95" s="11" t="n"/>
      <c r="P95" s="11" t="n"/>
      <c r="Q95" s="11" t="n"/>
      <c r="R95" s="14">
        <f>IF(C95="","",COUNTIF(L95:Q95,"Yes"))</f>
        <v/>
      </c>
      <c r="S95" s="11" t="n"/>
      <c r="T95" s="11" t="n"/>
      <c r="U95" s="11" t="n"/>
      <c r="V95" s="14">
        <f>IF(U95="Yes",IF(R95=6,"OK","Coverage gap"),"")</f>
        <v/>
      </c>
      <c r="W95" s="11" t="n"/>
      <c r="X95" s="11" t="n"/>
      <c r="Y95" s="15" t="n"/>
      <c r="Z95" s="11" t="n"/>
    </row>
    <row r="96" ht="18" customHeight="1">
      <c r="A96" s="14">
        <f>IF(B96="","",UPPER(LEFT(B96,2))&amp;TEXT(COUNTIF(B$2:B96,B96),"00"))</f>
        <v/>
      </c>
      <c r="B96" s="11" t="n"/>
      <c r="C96" s="11" t="n"/>
      <c r="D96" s="11" t="n"/>
      <c r="E96" s="11" t="n"/>
      <c r="F96" s="11" t="n"/>
      <c r="G96" s="11" t="n"/>
      <c r="H96" s="11" t="n"/>
      <c r="I96" s="11" t="n"/>
      <c r="J96" s="11" t="n"/>
      <c r="K96" s="15" t="n"/>
      <c r="L96" s="11" t="n"/>
      <c r="M96" s="11" t="n"/>
      <c r="N96" s="11" t="n"/>
      <c r="O96" s="11" t="n"/>
      <c r="P96" s="11" t="n"/>
      <c r="Q96" s="11" t="n"/>
      <c r="R96" s="14">
        <f>IF(C96="","",COUNTIF(L96:Q96,"Yes"))</f>
        <v/>
      </c>
      <c r="S96" s="11" t="n"/>
      <c r="T96" s="11" t="n"/>
      <c r="U96" s="11" t="n"/>
      <c r="V96" s="14">
        <f>IF(U96="Yes",IF(R96=6,"OK","Coverage gap"),"")</f>
        <v/>
      </c>
      <c r="W96" s="11" t="n"/>
      <c r="X96" s="11" t="n"/>
      <c r="Y96" s="15" t="n"/>
      <c r="Z96" s="11" t="n"/>
    </row>
    <row r="97" ht="18" customHeight="1">
      <c r="A97" s="14">
        <f>IF(B97="","",UPPER(LEFT(B97,2))&amp;TEXT(COUNTIF(B$2:B97,B97),"00"))</f>
        <v/>
      </c>
      <c r="B97" s="11" t="n"/>
      <c r="C97" s="11" t="n"/>
      <c r="D97" s="11" t="n"/>
      <c r="E97" s="11" t="n"/>
      <c r="F97" s="11" t="n"/>
      <c r="G97" s="11" t="n"/>
      <c r="H97" s="11" t="n"/>
      <c r="I97" s="11" t="n"/>
      <c r="J97" s="11" t="n"/>
      <c r="K97" s="15" t="n"/>
      <c r="L97" s="11" t="n"/>
      <c r="M97" s="11" t="n"/>
      <c r="N97" s="11" t="n"/>
      <c r="O97" s="11" t="n"/>
      <c r="P97" s="11" t="n"/>
      <c r="Q97" s="11" t="n"/>
      <c r="R97" s="14">
        <f>IF(C97="","",COUNTIF(L97:Q97,"Yes"))</f>
        <v/>
      </c>
      <c r="S97" s="11" t="n"/>
      <c r="T97" s="11" t="n"/>
      <c r="U97" s="11" t="n"/>
      <c r="V97" s="14">
        <f>IF(U97="Yes",IF(R97=6,"OK","Coverage gap"),"")</f>
        <v/>
      </c>
      <c r="W97" s="11" t="n"/>
      <c r="X97" s="11" t="n"/>
      <c r="Y97" s="15" t="n"/>
      <c r="Z97" s="11" t="n"/>
    </row>
    <row r="98" ht="18" customHeight="1">
      <c r="A98" s="14">
        <f>IF(B98="","",UPPER(LEFT(B98,2))&amp;TEXT(COUNTIF(B$2:B98,B98),"00"))</f>
        <v/>
      </c>
      <c r="B98" s="11" t="n"/>
      <c r="C98" s="11" t="n"/>
      <c r="D98" s="11" t="n"/>
      <c r="E98" s="11" t="n"/>
      <c r="F98" s="11" t="n"/>
      <c r="G98" s="11" t="n"/>
      <c r="H98" s="11" t="n"/>
      <c r="I98" s="11" t="n"/>
      <c r="J98" s="11" t="n"/>
      <c r="K98" s="15" t="n"/>
      <c r="L98" s="11" t="n"/>
      <c r="M98" s="11" t="n"/>
      <c r="N98" s="11" t="n"/>
      <c r="O98" s="11" t="n"/>
      <c r="P98" s="11" t="n"/>
      <c r="Q98" s="11" t="n"/>
      <c r="R98" s="14">
        <f>IF(C98="","",COUNTIF(L98:Q98,"Yes"))</f>
        <v/>
      </c>
      <c r="S98" s="11" t="n"/>
      <c r="T98" s="11" t="n"/>
      <c r="U98" s="11" t="n"/>
      <c r="V98" s="14">
        <f>IF(U98="Yes",IF(R98=6,"OK","Coverage gap"),"")</f>
        <v/>
      </c>
      <c r="W98" s="11" t="n"/>
      <c r="X98" s="11" t="n"/>
      <c r="Y98" s="15" t="n"/>
      <c r="Z98" s="11" t="n"/>
    </row>
    <row r="99" ht="18" customHeight="1">
      <c r="A99" s="14">
        <f>IF(B99="","",UPPER(LEFT(B99,2))&amp;TEXT(COUNTIF(B$2:B99,B99),"00"))</f>
        <v/>
      </c>
      <c r="B99" s="11" t="n"/>
      <c r="C99" s="11" t="n"/>
      <c r="D99" s="11" t="n"/>
      <c r="E99" s="11" t="n"/>
      <c r="F99" s="11" t="n"/>
      <c r="G99" s="11" t="n"/>
      <c r="H99" s="11" t="n"/>
      <c r="I99" s="11" t="n"/>
      <c r="J99" s="11" t="n"/>
      <c r="K99" s="15" t="n"/>
      <c r="L99" s="11" t="n"/>
      <c r="M99" s="11" t="n"/>
      <c r="N99" s="11" t="n"/>
      <c r="O99" s="11" t="n"/>
      <c r="P99" s="11" t="n"/>
      <c r="Q99" s="11" t="n"/>
      <c r="R99" s="14">
        <f>IF(C99="","",COUNTIF(L99:Q99,"Yes"))</f>
        <v/>
      </c>
      <c r="S99" s="11" t="n"/>
      <c r="T99" s="11" t="n"/>
      <c r="U99" s="11" t="n"/>
      <c r="V99" s="14">
        <f>IF(U99="Yes",IF(R99=6,"OK","Coverage gap"),"")</f>
        <v/>
      </c>
      <c r="W99" s="11" t="n"/>
      <c r="X99" s="11" t="n"/>
      <c r="Y99" s="15" t="n"/>
      <c r="Z99" s="11" t="n"/>
    </row>
    <row r="100" ht="18" customHeight="1">
      <c r="A100" s="14">
        <f>IF(B100="","",UPPER(LEFT(B100,2))&amp;TEXT(COUNTIF(B$2:B100,B100),"00"))</f>
        <v/>
      </c>
      <c r="B100" s="11" t="n"/>
      <c r="C100" s="11" t="n"/>
      <c r="D100" s="11" t="n"/>
      <c r="E100" s="11" t="n"/>
      <c r="F100" s="11" t="n"/>
      <c r="G100" s="11" t="n"/>
      <c r="H100" s="11" t="n"/>
      <c r="I100" s="11" t="n"/>
      <c r="J100" s="11" t="n"/>
      <c r="K100" s="15" t="n"/>
      <c r="L100" s="11" t="n"/>
      <c r="M100" s="11" t="n"/>
      <c r="N100" s="11" t="n"/>
      <c r="O100" s="11" t="n"/>
      <c r="P100" s="11" t="n"/>
      <c r="Q100" s="11" t="n"/>
      <c r="R100" s="14">
        <f>IF(C100="","",COUNTIF(L100:Q100,"Yes"))</f>
        <v/>
      </c>
      <c r="S100" s="11" t="n"/>
      <c r="T100" s="11" t="n"/>
      <c r="U100" s="11" t="n"/>
      <c r="V100" s="14">
        <f>IF(U100="Yes",IF(R100=6,"OK","Coverage gap"),"")</f>
        <v/>
      </c>
      <c r="W100" s="11" t="n"/>
      <c r="X100" s="11" t="n"/>
      <c r="Y100" s="15" t="n"/>
      <c r="Z100" s="11" t="n"/>
    </row>
  </sheetData>
  <autoFilter ref="A1:Z100"/>
  <conditionalFormatting sqref="L2:Q100">
    <cfRule type="cellIs" priority="1" operator="equal" dxfId="0">
      <formula>"Yes"</formula>
    </cfRule>
    <cfRule type="cellIs" priority="2" operator="equal" dxfId="1">
      <formula>"Partly"</formula>
    </cfRule>
    <cfRule type="cellIs" priority="3" operator="equal" dxfId="2">
      <formula>"No"</formula>
    </cfRule>
  </conditionalFormatting>
  <conditionalFormatting sqref="U2:U100">
    <cfRule type="cellIs" priority="4" operator="equal" dxfId="0">
      <formula>"Yes"</formula>
    </cfRule>
  </conditionalFormatting>
  <conditionalFormatting sqref="V2:V100">
    <cfRule type="cellIs" priority="5" operator="equal" dxfId="3">
      <formula>"Coverage gap"</formula>
    </cfRule>
  </conditionalFormatting>
  <dataValidations count="14">
    <dataValidation sqref="B2:B100" showDropDown="0" showInputMessage="0" showErrorMessage="1" allowBlank="1" errorTitle="Choose from the list" error="Please choose a value from the list." type="list">
      <formula1>"Political,Economic,Social,Technological,Environmental,Legal"</formula1>
    </dataValidation>
    <dataValidation sqref="E2:E100" showDropDown="0" showInputMessage="0" showErrorMessage="1" allowBlank="1" errorTitle="Choose from the list" error="Please choose a value from the list." type="list">
      <formula1>"Premium coffee segment,Tourism and hotels,Purchasing power,Competitive landscape,Import and regulation,Coffee culture,Other (explain)"</formula1>
    </dataValidation>
    <dataValidation sqref="F2:F100" showDropDown="0" showInputMessage="0" showErrorMessage="1" allowBlank="1" errorTitle="Choose from the list" error="Please choose a value from the list." type="list">
      <formula1>"Quantitative,Qualitative rubric"</formula1>
    </dataValidation>
    <dataValidation sqref="H2:H100" showDropDown="0" showInputMessage="0" showErrorMessage="1" allowBlank="1" errorTitle="Choose from the list" error="Please choose a value from the list." type="list">
      <formula1>"Higher is better,Lower is better,Decide and explain"</formula1>
    </dataValidation>
    <dataValidation sqref="L2:L100" showDropDown="0" showInputMessage="0" showErrorMessage="1" allowBlank="1" errorTitle="Choose from the list" error="Please choose a value from the list." type="list">
      <formula1>"Yes,Partly,No,Not checked"</formula1>
    </dataValidation>
    <dataValidation sqref="M2:M100" showDropDown="0" showInputMessage="0" showErrorMessage="1" allowBlank="1" errorTitle="Choose from the list" error="Please choose a value from the list." type="list">
      <formula1>"Yes,Partly,No,Not checked"</formula1>
    </dataValidation>
    <dataValidation sqref="N2:N100" showDropDown="0" showInputMessage="0" showErrorMessage="1" allowBlank="1" errorTitle="Choose from the list" error="Please choose a value from the list." type="list">
      <formula1>"Yes,Partly,No,Not checked"</formula1>
    </dataValidation>
    <dataValidation sqref="O2:O100" showDropDown="0" showInputMessage="0" showErrorMessage="1" allowBlank="1" errorTitle="Choose from the list" error="Please choose a value from the list." type="list">
      <formula1>"Yes,Partly,No,Not checked"</formula1>
    </dataValidation>
    <dataValidation sqref="P2:P100" showDropDown="0" showInputMessage="0" showErrorMessage="1" allowBlank="1" errorTitle="Choose from the list" error="Please choose a value from the list." type="list">
      <formula1>"Yes,Partly,No,Not checked"</formula1>
    </dataValidation>
    <dataValidation sqref="Q2:Q100" showDropDown="0" showInputMessage="0" showErrorMessage="1" allowBlank="1" errorTitle="Choose from the list" error="Please choose a value from the list." type="list">
      <formula1>"Yes,Partly,No,Not checked"</formula1>
    </dataValidation>
    <dataValidation sqref="S2:S100" showDropDown="0" showInputMessage="0" showErrorMessage="1" allowBlank="1" errorTitle="Choose from the list" error="Please choose a value from the list." type="list">
      <formula1>"1,2,3,4,5"</formula1>
    </dataValidation>
    <dataValidation sqref="T2:T100" showDropDown="0" showInputMessage="0" showErrorMessage="1" allowBlank="1" errorTitle="Choose from the list" error="Please choose a value from the list." type="list">
      <formula1>"1,2,3,4,5"</formula1>
    </dataValidation>
    <dataValidation sqref="U2:U100" showDropDown="0" showInputMessage="0" showErrorMessage="1" allowBlank="1" errorTitle="Choose from the list" error="Please choose a value from the list." type="list">
      <formula1>"Yes,No"</formula1>
    </dataValidation>
    <dataValidation sqref="W2:W100" showDropDown="0" showInputMessage="0" showErrorMessage="1" allowBlank="1" errorTitle="Choose from the list" error="Please choose a value from the list." type="list">
      <formula1>"Instructor,Group"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showGridLines="1" workbookViewId="0">
      <pane ySplit="3" topLeftCell="A4" activePane="bottomLeft" state="frozen"/>
      <selection pane="bottomLeft" activeCell="A1" sqref="A1"/>
    </sheetView>
  </sheetViews>
  <sheetFormatPr baseColWidth="8" defaultRowHeight="15"/>
  <cols>
    <col width="40" customWidth="1" min="1" max="1"/>
    <col width="20" customWidth="1" min="2" max="2"/>
    <col width="20" customWidth="1" min="3" max="3"/>
    <col width="20" customWidth="1" min="4" max="4"/>
    <col width="34" customWidth="1" min="5" max="5"/>
    <col width="40" customWidth="1" min="6" max="6"/>
  </cols>
  <sheetData>
    <row r="1">
      <c r="A1" s="1" t="inlineStr">
        <is>
          <t>Summary of your indicator search</t>
        </is>
      </c>
    </row>
    <row r="2">
      <c r="A2" s="2" t="inlineStr">
        <is>
          <t>All figures on this tab are calculated from the Long list. Only the three blue settings can be changed, and only by the instructor.</t>
        </is>
      </c>
    </row>
    <row r="4">
      <c r="A4" s="10" t="inlineStr">
        <is>
          <t>Minimum candidate indicators per PESTEL dimension</t>
        </is>
      </c>
      <c r="B4" s="11" t="n">
        <v>3</v>
      </c>
    </row>
    <row r="5">
      <c r="A5" s="10" t="inlineStr">
        <is>
          <t>Shortlist: minimum number of indicators</t>
        </is>
      </c>
      <c r="B5" s="11" t="n">
        <v>8</v>
      </c>
    </row>
    <row r="6">
      <c r="A6" s="10" t="inlineStr">
        <is>
          <t>Shortlist: maximum number of indicators</t>
        </is>
      </c>
      <c r="B6" s="11" t="n">
        <v>14</v>
      </c>
    </row>
    <row r="8">
      <c r="A8" s="9" t="inlineStr">
        <is>
          <t>PESTEL dimension</t>
        </is>
      </c>
      <c r="B8" s="9" t="inlineStr">
        <is>
          <t>Candidate indicators</t>
        </is>
      </c>
      <c r="C8" s="9" t="inlineStr">
        <is>
          <t>Covering all six countries</t>
        </is>
      </c>
      <c r="D8" s="9" t="inlineStr">
        <is>
          <t>Shortlisted</t>
        </is>
      </c>
      <c r="E8" s="9" t="inlineStr">
        <is>
          <t>Status</t>
        </is>
      </c>
    </row>
    <row r="9">
      <c r="A9" s="12" t="inlineStr">
        <is>
          <t>Political</t>
        </is>
      </c>
      <c r="B9" s="14">
        <f>COUNTIFS('Long list'!$B$2:$B$100,$A9,'Long list'!$C$2:$C$100,"&lt;&gt;")</f>
        <v/>
      </c>
      <c r="C9" s="14">
        <f>COUNTIFS('Long list'!$B$2:$B$100,$A9,'Long list'!$C$2:$C$100,"&lt;&gt;",'Long list'!$R$2:$R$100,6)</f>
        <v/>
      </c>
      <c r="D9" s="14">
        <f>COUNTIFS('Long list'!$B$2:$B$100,$A9,'Long list'!$U$2:$U$100,"Yes")</f>
        <v/>
      </c>
      <c r="E9" s="14">
        <f>IF(B9&lt;$B$4,"Search for more indicators",IF(D9=0,"Shortlist at least one","OK"))</f>
        <v/>
      </c>
    </row>
    <row r="10">
      <c r="A10" s="12" t="inlineStr">
        <is>
          <t>Economic</t>
        </is>
      </c>
      <c r="B10" s="14">
        <f>COUNTIFS('Long list'!$B$2:$B$100,$A10,'Long list'!$C$2:$C$100,"&lt;&gt;")</f>
        <v/>
      </c>
      <c r="C10" s="14">
        <f>COUNTIFS('Long list'!$B$2:$B$100,$A10,'Long list'!$C$2:$C$100,"&lt;&gt;",'Long list'!$R$2:$R$100,6)</f>
        <v/>
      </c>
      <c r="D10" s="14">
        <f>COUNTIFS('Long list'!$B$2:$B$100,$A10,'Long list'!$U$2:$U$100,"Yes")</f>
        <v/>
      </c>
      <c r="E10" s="14">
        <f>IF(B10&lt;$B$4,"Search for more indicators",IF(D10=0,"Shortlist at least one","OK"))</f>
        <v/>
      </c>
    </row>
    <row r="11">
      <c r="A11" s="12" t="inlineStr">
        <is>
          <t>Social</t>
        </is>
      </c>
      <c r="B11" s="14">
        <f>COUNTIFS('Long list'!$B$2:$B$100,$A11,'Long list'!$C$2:$C$100,"&lt;&gt;")</f>
        <v/>
      </c>
      <c r="C11" s="14">
        <f>COUNTIFS('Long list'!$B$2:$B$100,$A11,'Long list'!$C$2:$C$100,"&lt;&gt;",'Long list'!$R$2:$R$100,6)</f>
        <v/>
      </c>
      <c r="D11" s="14">
        <f>COUNTIFS('Long list'!$B$2:$B$100,$A11,'Long list'!$U$2:$U$100,"Yes")</f>
        <v/>
      </c>
      <c r="E11" s="14">
        <f>IF(B11&lt;$B$4,"Search for more indicators",IF(D11=0,"Shortlist at least one","OK"))</f>
        <v/>
      </c>
    </row>
    <row r="12">
      <c r="A12" s="12" t="inlineStr">
        <is>
          <t>Technological</t>
        </is>
      </c>
      <c r="B12" s="14">
        <f>COUNTIFS('Long list'!$B$2:$B$100,$A12,'Long list'!$C$2:$C$100,"&lt;&gt;")</f>
        <v/>
      </c>
      <c r="C12" s="14">
        <f>COUNTIFS('Long list'!$B$2:$B$100,$A12,'Long list'!$C$2:$C$100,"&lt;&gt;",'Long list'!$R$2:$R$100,6)</f>
        <v/>
      </c>
      <c r="D12" s="14">
        <f>COUNTIFS('Long list'!$B$2:$B$100,$A12,'Long list'!$U$2:$U$100,"Yes")</f>
        <v/>
      </c>
      <c r="E12" s="14">
        <f>IF(B12&lt;$B$4,"Search for more indicators",IF(D12=0,"Shortlist at least one","OK"))</f>
        <v/>
      </c>
    </row>
    <row r="13">
      <c r="A13" s="12" t="inlineStr">
        <is>
          <t>Environmental</t>
        </is>
      </c>
      <c r="B13" s="14">
        <f>COUNTIFS('Long list'!$B$2:$B$100,$A13,'Long list'!$C$2:$C$100,"&lt;&gt;")</f>
        <v/>
      </c>
      <c r="C13" s="14">
        <f>COUNTIFS('Long list'!$B$2:$B$100,$A13,'Long list'!$C$2:$C$100,"&lt;&gt;",'Long list'!$R$2:$R$100,6)</f>
        <v/>
      </c>
      <c r="D13" s="14">
        <f>COUNTIFS('Long list'!$B$2:$B$100,$A13,'Long list'!$U$2:$U$100,"Yes")</f>
        <v/>
      </c>
      <c r="E13" s="14">
        <f>IF(B13&lt;$B$4,"Search for more indicators",IF(D13=0,"Shortlist at least one","OK"))</f>
        <v/>
      </c>
    </row>
    <row r="14">
      <c r="A14" s="12" t="inlineStr">
        <is>
          <t>Legal</t>
        </is>
      </c>
      <c r="B14" s="14">
        <f>COUNTIFS('Long list'!$B$2:$B$100,$A14,'Long list'!$C$2:$C$100,"&lt;&gt;")</f>
        <v/>
      </c>
      <c r="C14" s="14">
        <f>COUNTIFS('Long list'!$B$2:$B$100,$A14,'Long list'!$C$2:$C$100,"&lt;&gt;",'Long list'!$R$2:$R$100,6)</f>
        <v/>
      </c>
      <c r="D14" s="14">
        <f>COUNTIFS('Long list'!$B$2:$B$100,$A14,'Long list'!$U$2:$U$100,"Yes")</f>
        <v/>
      </c>
      <c r="E14" s="14">
        <f>IF(B14&lt;$B$4,"Search for more indicators",IF(D14=0,"Shortlist at least one","OK"))</f>
        <v/>
      </c>
    </row>
    <row r="15">
      <c r="A15" s="12" t="inlineStr">
        <is>
          <t>Total</t>
        </is>
      </c>
      <c r="B15" s="16">
        <f>SUM(B9:B14)</f>
        <v/>
      </c>
      <c r="C15" s="16">
        <f>SUM(C9:C14)</f>
        <v/>
      </c>
      <c r="D15" s="16">
        <f>SUM(D9:D14)</f>
        <v/>
      </c>
      <c r="E15" s="14" t="inlineStr"/>
    </row>
    <row r="17">
      <c r="A17" s="10" t="inlineStr">
        <is>
          <t>Shortlist size</t>
        </is>
      </c>
      <c r="B17" s="14">
        <f>IF(D15&lt;$B$5,"Too few: shortlist more",IF(D15&gt;$B$6,"Too many: cut down","Within the range"))</f>
        <v/>
      </c>
      <c r="C17" s="17" t="n"/>
    </row>
    <row r="18">
      <c r="A18" s="10" t="inlineStr">
        <is>
          <t>Shortlisted indicators without data for all six countries</t>
        </is>
      </c>
      <c r="B18" s="14">
        <f>COUNTIFS('Long list'!$U$2:$U$100,"Yes",'Long list'!$R$2:$R$100,"&lt;6")</f>
        <v/>
      </c>
    </row>
    <row r="20">
      <c r="A20" s="9" t="inlineStr">
        <is>
          <t>Julius Meinl dimension</t>
        </is>
      </c>
      <c r="B20" s="9" t="inlineStr">
        <is>
          <t>Shortlisted indicators</t>
        </is>
      </c>
      <c r="C20" s="9" t="inlineStr">
        <is>
          <t>Status</t>
        </is>
      </c>
    </row>
    <row r="21">
      <c r="A21" s="12" t="inlineStr">
        <is>
          <t>Premium coffee segment</t>
        </is>
      </c>
      <c r="B21" s="14">
        <f>COUNTIFS('Long list'!$E$2:$E$100,$A21,'Long list'!$U$2:$U$100,"Yes")</f>
        <v/>
      </c>
      <c r="C21" s="14">
        <f>IF($A21="Other (explain)","",IF(B21=0,"No indicator yet","OK"))</f>
        <v/>
      </c>
    </row>
    <row r="22">
      <c r="A22" s="12" t="inlineStr">
        <is>
          <t>Tourism and hotels</t>
        </is>
      </c>
      <c r="B22" s="14">
        <f>COUNTIFS('Long list'!$E$2:$E$100,$A22,'Long list'!$U$2:$U$100,"Yes")</f>
        <v/>
      </c>
      <c r="C22" s="14">
        <f>IF($A22="Other (explain)","",IF(B22=0,"No indicator yet","OK"))</f>
        <v/>
      </c>
    </row>
    <row r="23">
      <c r="A23" s="12" t="inlineStr">
        <is>
          <t>Purchasing power</t>
        </is>
      </c>
      <c r="B23" s="14">
        <f>COUNTIFS('Long list'!$E$2:$E$100,$A23,'Long list'!$U$2:$U$100,"Yes")</f>
        <v/>
      </c>
      <c r="C23" s="14">
        <f>IF($A23="Other (explain)","",IF(B23=0,"No indicator yet","OK"))</f>
        <v/>
      </c>
    </row>
    <row r="24">
      <c r="A24" s="12" t="inlineStr">
        <is>
          <t>Competitive landscape</t>
        </is>
      </c>
      <c r="B24" s="14">
        <f>COUNTIFS('Long list'!$E$2:$E$100,$A24,'Long list'!$U$2:$U$100,"Yes")</f>
        <v/>
      </c>
      <c r="C24" s="14">
        <f>IF($A24="Other (explain)","",IF(B24=0,"No indicator yet","OK"))</f>
        <v/>
      </c>
    </row>
    <row r="25">
      <c r="A25" s="12" t="inlineStr">
        <is>
          <t>Import and regulation</t>
        </is>
      </c>
      <c r="B25" s="14">
        <f>COUNTIFS('Long list'!$E$2:$E$100,$A25,'Long list'!$U$2:$U$100,"Yes")</f>
        <v/>
      </c>
      <c r="C25" s="14">
        <f>IF($A25="Other (explain)","",IF(B25=0,"No indicator yet","OK"))</f>
        <v/>
      </c>
    </row>
    <row r="26">
      <c r="A26" s="12" t="inlineStr">
        <is>
          <t>Coffee culture</t>
        </is>
      </c>
      <c r="B26" s="14">
        <f>COUNTIFS('Long list'!$E$2:$E$100,$A26,'Long list'!$U$2:$U$100,"Yes")</f>
        <v/>
      </c>
      <c r="C26" s="14">
        <f>IF($A26="Other (explain)","",IF(B26=0,"No indicator yet","OK"))</f>
        <v/>
      </c>
    </row>
    <row r="27">
      <c r="A27" s="12" t="inlineStr">
        <is>
          <t>Other (explain)</t>
        </is>
      </c>
      <c r="B27" s="14">
        <f>COUNTIFS('Long list'!$E$2:$E$100,$A27,'Long list'!$U$2:$U$100,"Yes")</f>
        <v/>
      </c>
      <c r="C27" s="14">
        <f>IF($A27="Other (explain)","",IF(B27=0,"No indicator yet","OK"))</f>
        <v/>
      </c>
    </row>
  </sheetData>
  <mergeCells count="1">
    <mergeCell ref="B17:C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41" customWidth="1" min="1" max="1"/>
    <col width="34" customWidth="1" min="2" max="2"/>
    <col width="67" customWidth="1" min="3" max="3"/>
    <col width="26" customWidth="1" min="4" max="4"/>
    <col width="19" customWidth="1" min="5" max="5"/>
    <col width="72" customWidth="1" min="6" max="6"/>
  </cols>
  <sheetData>
    <row r="1">
      <c r="A1" s="9" t="inlineStr">
        <is>
          <t>Data source</t>
        </is>
      </c>
      <c r="B1" s="9" t="inlineStr">
        <is>
          <t>Publisher</t>
        </is>
      </c>
      <c r="C1" s="9" t="inlineStr">
        <is>
          <t>What you can find</t>
        </is>
      </c>
      <c r="D1" s="9" t="inlineStr">
        <is>
          <t>PESTEL dimensions</t>
        </is>
      </c>
      <c r="E1" s="9" t="inlineStr">
        <is>
          <t>Access</t>
        </is>
      </c>
      <c r="F1" s="9" t="inlineStr">
        <is>
          <t>Link</t>
        </is>
      </c>
    </row>
    <row r="2" ht="30" customHeight="1">
      <c r="A2" s="11" t="inlineStr">
        <is>
          <t>World Development Indicators</t>
        </is>
      </c>
      <c r="B2" s="11" t="inlineStr">
        <is>
          <t>World Bank</t>
        </is>
      </c>
      <c r="C2" s="11" t="inlineStr">
        <is>
          <t>About 1,400 indicators for 217 economies: GDP, consumption, population, urbanisation, tourism, internet use.</t>
        </is>
      </c>
      <c r="D2" s="11" t="inlineStr">
        <is>
          <t>Economic; Social; Technological</t>
        </is>
      </c>
      <c r="E2" s="11" t="inlineStr">
        <is>
          <t>Free</t>
        </is>
      </c>
      <c r="F2" s="11" t="inlineStr">
        <is>
          <t>https://databank.worldbank.org/source/world-development-indicators</t>
        </is>
      </c>
    </row>
    <row r="3" ht="30" customHeight="1">
      <c r="A3" s="11" t="inlineStr">
        <is>
          <t>Worldwide Governance Indicators</t>
        </is>
      </c>
      <c r="B3" s="11" t="inlineStr">
        <is>
          <t>World Bank</t>
        </is>
      </c>
      <c r="C3" s="11" t="inlineStr">
        <is>
          <t>Six governance dimensions for about 200 economies, with standard errors.</t>
        </is>
      </c>
      <c r="D3" s="11" t="inlineStr">
        <is>
          <t>Political; Legal</t>
        </is>
      </c>
      <c r="E3" s="11" t="inlineStr">
        <is>
          <t>Free</t>
        </is>
      </c>
      <c r="F3" s="11" t="inlineStr">
        <is>
          <t>https://www.worldbank.org/en/publication/worldwide-governance-indicators</t>
        </is>
      </c>
    </row>
    <row r="4" ht="30" customHeight="1">
      <c r="A4" s="11" t="inlineStr">
        <is>
          <t>World Economic Outlook</t>
        </is>
      </c>
      <c r="B4" s="11" t="inlineStr">
        <is>
          <t>IMF</t>
        </is>
      </c>
      <c r="C4" s="11" t="inlineStr">
        <is>
          <t>Macro data and projections: growth, inflation, GDP.</t>
        </is>
      </c>
      <c r="D4" s="11" t="inlineStr">
        <is>
          <t>Economic</t>
        </is>
      </c>
      <c r="E4" s="11" t="inlineStr">
        <is>
          <t>Free</t>
        </is>
      </c>
      <c r="F4" s="11" t="inlineStr">
        <is>
          <t>https://data.imf.org/datasets/WEO</t>
        </is>
      </c>
    </row>
    <row r="5" ht="30" customHeight="1">
      <c r="A5" s="11" t="inlineStr">
        <is>
          <t>Corruption Perceptions Index</t>
        </is>
      </c>
      <c r="B5" s="11" t="inlineStr">
        <is>
          <t>Transparency International</t>
        </is>
      </c>
      <c r="C5" s="11" t="inlineStr">
        <is>
          <t>Perceived public-sector corruption, 0 to 100.</t>
        </is>
      </c>
      <c r="D5" s="11" t="inlineStr">
        <is>
          <t>Political</t>
        </is>
      </c>
      <c r="E5" s="11" t="inlineStr">
        <is>
          <t>Free</t>
        </is>
      </c>
      <c r="F5" s="11" t="inlineStr">
        <is>
          <t>https://www.transparency.org/en/cpi/2025</t>
        </is>
      </c>
    </row>
    <row r="6" ht="30" customHeight="1">
      <c r="A6" s="11" t="inlineStr">
        <is>
          <t>Index of Economic Freedom</t>
        </is>
      </c>
      <c r="B6" s="11" t="inlineStr">
        <is>
          <t>The Heritage Foundation</t>
        </is>
      </c>
      <c r="C6" s="11" t="inlineStr">
        <is>
          <t>Overall score and 12 component scores.</t>
        </is>
      </c>
      <c r="D6" s="11" t="inlineStr">
        <is>
          <t>Political; Legal</t>
        </is>
      </c>
      <c r="E6" s="11" t="inlineStr">
        <is>
          <t>Free</t>
        </is>
      </c>
      <c r="F6" s="11" t="inlineStr">
        <is>
          <t>https://www.heritage.org/index/</t>
        </is>
      </c>
    </row>
    <row r="7" ht="30" customHeight="1">
      <c r="A7" s="11" t="inlineStr">
        <is>
          <t>Country risk assessments</t>
        </is>
      </c>
      <c r="B7" s="11" t="inlineStr">
        <is>
          <t>Coface</t>
        </is>
      </c>
      <c r="C7" s="11" t="inlineStr">
        <is>
          <t>Country risk ratings on an eight-level scale for about 160 countries.</t>
        </is>
      </c>
      <c r="D7" s="11" t="inlineStr">
        <is>
          <t>Political; Economic</t>
        </is>
      </c>
      <c r="E7" s="11" t="inlineStr">
        <is>
          <t>Free</t>
        </is>
      </c>
      <c r="F7" s="11" t="inlineStr">
        <is>
          <t>https://www.coface.com/news-economy-and-insights/business-risk-dashboard/country-risk-files</t>
        </is>
      </c>
    </row>
    <row r="8" ht="30" customHeight="1">
      <c r="A8" s="11" t="inlineStr">
        <is>
          <t>Access2Markets</t>
        </is>
      </c>
      <c r="B8" s="11" t="inlineStr">
        <is>
          <t>European Commission, DG Trade</t>
        </is>
      </c>
      <c r="C8" s="11" t="inlineStr">
        <is>
          <t>Duties, taxes, product requirements and rules of origin for EU exporters.</t>
        </is>
      </c>
      <c r="D8" s="11" t="inlineStr">
        <is>
          <t>Political; Economic; Legal</t>
        </is>
      </c>
      <c r="E8" s="11" t="inlineStr">
        <is>
          <t>Free</t>
        </is>
      </c>
      <c r="F8" s="11" t="inlineStr">
        <is>
          <t>https://trade.ec.europa.eu/access-to-markets/en/content/what-access2markets-0</t>
        </is>
      </c>
    </row>
    <row r="9" ht="30" customHeight="1">
      <c r="A9" s="11" t="inlineStr">
        <is>
          <t>Tariff and trade data</t>
        </is>
      </c>
      <c r="B9" s="11" t="inlineStr">
        <is>
          <t>World Trade Organization</t>
        </is>
      </c>
      <c r="C9" s="11" t="inlineStr">
        <is>
          <t>Applied and bound tariffs by product, trade statistics.</t>
        </is>
      </c>
      <c r="D9" s="11" t="inlineStr">
        <is>
          <t>Economic; Legal</t>
        </is>
      </c>
      <c r="E9" s="11" t="inlineStr">
        <is>
          <t>Free</t>
        </is>
      </c>
      <c r="F9" s="11" t="inlineStr">
        <is>
          <t>https://stats.wto.org/</t>
        </is>
      </c>
    </row>
    <row r="10" ht="30" customHeight="1">
      <c r="A10" s="11" t="inlineStr">
        <is>
          <t>Trade Map</t>
        </is>
      </c>
      <c r="B10" s="11" t="inlineStr">
        <is>
          <t>International Trade Centre</t>
        </is>
      </c>
      <c r="C10" s="11" t="inlineStr">
        <is>
          <t>Imports, exports and tariffs by product (HS codes) and country.</t>
        </is>
      </c>
      <c r="D10" s="11" t="inlineStr">
        <is>
          <t>Economic</t>
        </is>
      </c>
      <c r="E10" s="11" t="inlineStr">
        <is>
          <t>Free (login)</t>
        </is>
      </c>
      <c r="F10" s="11" t="inlineStr">
        <is>
          <t>https://www.trademap.org/</t>
        </is>
      </c>
    </row>
    <row r="11" ht="30" customHeight="1">
      <c r="A11" s="11" t="inlineStr">
        <is>
          <t>UN Comtrade</t>
        </is>
      </c>
      <c r="B11" s="11" t="inlineStr">
        <is>
          <t>United Nations</t>
        </is>
      </c>
      <c r="C11" s="11" t="inlineStr">
        <is>
          <t>Bilateral trade flows by HS product.</t>
        </is>
      </c>
      <c r="D11" s="11" t="inlineStr">
        <is>
          <t>Economic</t>
        </is>
      </c>
      <c r="E11" s="11" t="inlineStr">
        <is>
          <t>Free (login)</t>
        </is>
      </c>
      <c r="F11" s="11" t="inlineStr">
        <is>
          <t>https://comtradeplus.un.org/</t>
        </is>
      </c>
    </row>
    <row r="12" ht="30" customHeight="1">
      <c r="A12" s="11" t="inlineStr">
        <is>
          <t>Coffee statistics</t>
        </is>
      </c>
      <c r="B12" s="11" t="inlineStr">
        <is>
          <t>International Coffee Organization</t>
        </is>
      </c>
      <c r="C12" s="11" t="inlineStr">
        <is>
          <t>Production, consumption and trade of coffee by country.</t>
        </is>
      </c>
      <c r="D12" s="11" t="inlineStr">
        <is>
          <t>Social; Environmental; Economic</t>
        </is>
      </c>
      <c r="E12" s="11" t="inlineStr">
        <is>
          <t>Free (check what is open)</t>
        </is>
      </c>
      <c r="F12" s="11" t="inlineStr">
        <is>
          <t>https://www.ico.org/</t>
        </is>
      </c>
    </row>
    <row r="13" ht="30" customHeight="1">
      <c r="A13" s="11" t="inlineStr">
        <is>
          <t>Annual coffee reports by country</t>
        </is>
      </c>
      <c r="B13" s="11" t="inlineStr">
        <is>
          <t>USDA Foreign Agricultural Service</t>
        </is>
      </c>
      <c r="C13" s="11" t="inlineStr">
        <is>
          <t>Coffee production, consumption, imports and market notes by country.</t>
        </is>
      </c>
      <c r="D13" s="11" t="inlineStr">
        <is>
          <t>Economic; Social; Environmental</t>
        </is>
      </c>
      <c r="E13" s="11" t="inlineStr">
        <is>
          <t>Free (search the reports)</t>
        </is>
      </c>
      <c r="F13" s="11" t="inlineStr">
        <is>
          <t>https://www.fas.usda.gov/</t>
        </is>
      </c>
    </row>
    <row r="14" ht="30" customHeight="1">
      <c r="A14" s="11" t="inlineStr">
        <is>
          <t>Gravity and GeoDist databases</t>
        </is>
      </c>
      <c r="B14" s="11" t="inlineStr">
        <is>
          <t>CEPII</t>
        </is>
      </c>
      <c r="C14" s="11" t="inlineStr">
        <is>
          <t>Distance, common language, colonial links between countries.</t>
        </is>
      </c>
      <c r="D14" s="11" t="inlineStr">
        <is>
          <t>Social; Political</t>
        </is>
      </c>
      <c r="E14" s="11" t="inlineStr">
        <is>
          <t>Free (login)</t>
        </is>
      </c>
      <c r="F14" s="11" t="inlineStr">
        <is>
          <t>https://www.cepii.fr/CEPII/en/bdd_modele/bdd_modele_item.asp?id=8</t>
        </is>
      </c>
    </row>
    <row r="15" ht="30" customHeight="1">
      <c r="A15" s="11" t="inlineStr">
        <is>
          <t>Dimension data matrix</t>
        </is>
      </c>
      <c r="B15" s="11" t="inlineStr">
        <is>
          <t>Hofstede Insights</t>
        </is>
      </c>
      <c r="C15" s="11" t="inlineStr">
        <is>
          <t>Country scores on six cultural dimensions.</t>
        </is>
      </c>
      <c r="D15" s="11" t="inlineStr">
        <is>
          <t>Social</t>
        </is>
      </c>
      <c r="E15" s="11" t="inlineStr">
        <is>
          <t>Free</t>
        </is>
      </c>
      <c r="F15" s="11" t="inlineStr">
        <is>
          <t>https://geerthofstede.com/research-and-vsm/dimension-data-matrix/</t>
        </is>
      </c>
    </row>
    <row r="16" ht="30" customHeight="1">
      <c r="A16" s="11" t="inlineStr">
        <is>
          <t>Logistics Performance Index</t>
        </is>
      </c>
      <c r="B16" s="11" t="inlineStr">
        <is>
          <t>World Bank</t>
        </is>
      </c>
      <c r="C16" s="11" t="inlineStr">
        <is>
          <t>Scores on customs, infrastructure, shipments, competence, tracking, timeliness.</t>
        </is>
      </c>
      <c r="D16" s="11" t="inlineStr">
        <is>
          <t>Technological; Legal</t>
        </is>
      </c>
      <c r="E16" s="11" t="inlineStr">
        <is>
          <t>Free</t>
        </is>
      </c>
      <c r="F16" s="11" t="inlineStr">
        <is>
          <t>https://lpi.worldbank.org/</t>
        </is>
      </c>
    </row>
    <row r="17" ht="30" customHeight="1">
      <c r="A17" s="11" t="inlineStr">
        <is>
          <t>Business Ready (B-READY)</t>
        </is>
      </c>
      <c r="B17" s="11" t="inlineStr">
        <is>
          <t>World Bank Group</t>
        </is>
      </c>
      <c r="C17" s="11" t="inlineStr">
        <is>
          <t>Business environment scores in 10 topics; 50 economies in 2024.</t>
        </is>
      </c>
      <c r="D17" s="11" t="inlineStr">
        <is>
          <t>Legal; Economic</t>
        </is>
      </c>
      <c r="E17" s="11" t="inlineStr">
        <is>
          <t>Free</t>
        </is>
      </c>
      <c r="F17" s="11" t="inlineStr">
        <is>
          <t>https://www.worldbank.org/en/businessready/publications-2024</t>
        </is>
      </c>
    </row>
    <row r="18" ht="30" customHeight="1">
      <c r="A18" s="11" t="inlineStr">
        <is>
          <t>Global Innovation Index</t>
        </is>
      </c>
      <c r="B18" s="11" t="inlineStr">
        <is>
          <t>WIPO</t>
        </is>
      </c>
      <c r="C18" s="11" t="inlineStr">
        <is>
          <t>Innovation capability with about 80 indicators.</t>
        </is>
      </c>
      <c r="D18" s="11" t="inlineStr">
        <is>
          <t>Technological</t>
        </is>
      </c>
      <c r="E18" s="11" t="inlineStr">
        <is>
          <t>Free</t>
        </is>
      </c>
      <c r="F18" s="11" t="inlineStr">
        <is>
          <t>https://www.wipo.int/web/global-innovation-index</t>
        </is>
      </c>
    </row>
    <row r="19" ht="30" customHeight="1">
      <c r="A19" s="11" t="inlineStr">
        <is>
          <t>Global Findex</t>
        </is>
      </c>
      <c r="B19" s="11" t="inlineStr">
        <is>
          <t>World Bank</t>
        </is>
      </c>
      <c r="C19" s="11" t="inlineStr">
        <is>
          <t>Account ownership and use of financial services.</t>
        </is>
      </c>
      <c r="D19" s="11" t="inlineStr">
        <is>
          <t>Technological; Economic</t>
        </is>
      </c>
      <c r="E19" s="11" t="inlineStr">
        <is>
          <t>Free (not checked by the instructor)</t>
        </is>
      </c>
      <c r="F19" s="11" t="inlineStr">
        <is>
          <t>https://www.worldbank.org/en/publication/globalfindex</t>
        </is>
      </c>
    </row>
    <row r="20" ht="30" customHeight="1">
      <c r="A20" s="11" t="inlineStr">
        <is>
          <t>ND-GAIN Country Index</t>
        </is>
      </c>
      <c r="B20" s="11" t="inlineStr">
        <is>
          <t>University of Notre Dame</t>
        </is>
      </c>
      <c r="C20" s="11" t="inlineStr">
        <is>
          <t>Climate vulnerability and readiness for about 185 countries.</t>
        </is>
      </c>
      <c r="D20" s="11" t="inlineStr">
        <is>
          <t>Environmental</t>
        </is>
      </c>
      <c r="E20" s="11" t="inlineStr">
        <is>
          <t>Free</t>
        </is>
      </c>
      <c r="F20" s="11" t="inlineStr">
        <is>
          <t>https://gain.nd.edu/our-work/country-index/download-data/</t>
        </is>
      </c>
    </row>
    <row r="21" ht="30" customHeight="1">
      <c r="A21" s="11" t="inlineStr">
        <is>
          <t>Environmental Performance Index</t>
        </is>
      </c>
      <c r="B21" s="11" t="inlineStr">
        <is>
          <t>Yale University</t>
        </is>
      </c>
      <c r="C21" s="11" t="inlineStr">
        <is>
          <t>Environmental health and ecosystem vitality scores.</t>
        </is>
      </c>
      <c r="D21" s="11" t="inlineStr">
        <is>
          <t>Environmental</t>
        </is>
      </c>
      <c r="E21" s="11" t="inlineStr">
        <is>
          <t>Free (not checked by the instructor)</t>
        </is>
      </c>
      <c r="F21" s="11" t="inlineStr">
        <is>
          <t>https://epi.yale.edu/</t>
        </is>
      </c>
    </row>
    <row r="22" ht="30" customHeight="1">
      <c r="A22" s="11" t="inlineStr">
        <is>
          <t>Passport</t>
        </is>
      </c>
      <c r="B22" s="11" t="inlineStr">
        <is>
          <t>Euromonitor International</t>
        </is>
      </c>
      <c r="C22" s="11" t="inlineStr">
        <is>
          <t>Category sizes and forecasts, company shares, consumer data.</t>
        </is>
      </c>
      <c r="D22" s="11" t="inlineStr">
        <is>
          <t>Economic; Social; Technological</t>
        </is>
      </c>
      <c r="E22" s="11" t="inlineStr">
        <is>
          <t>WU library</t>
        </is>
      </c>
      <c r="F22" s="11" t="inlineStr">
        <is>
          <t>https://www.euromonitor.com/our-expertise/passport</t>
        </is>
      </c>
    </row>
    <row r="23" ht="30" customHeight="1">
      <c r="A23" s="11" t="inlineStr">
        <is>
          <t>Statista</t>
        </is>
      </c>
      <c r="B23" s="11" t="inlineStr">
        <is>
          <t>Statista</t>
        </is>
      </c>
      <c r="C23" s="11" t="inlineStr">
        <is>
          <t>Market and consumer statistics by country. A secondary source: find the original.</t>
        </is>
      </c>
      <c r="D23" s="11" t="inlineStr">
        <is>
          <t>Economic; Social</t>
        </is>
      </c>
      <c r="E23" s="11" t="inlineStr">
        <is>
          <t>WU library</t>
        </is>
      </c>
      <c r="F23" s="11" t="inlineStr">
        <is>
          <t>https://www.statista.com/</t>
        </is>
      </c>
    </row>
    <row r="24" ht="30" customHeight="1">
      <c r="A24" s="11" t="inlineStr">
        <is>
          <t>Reports and country profiles</t>
        </is>
      </c>
      <c r="B24" s="11" t="inlineStr">
        <is>
          <t>WKO AUSSENWIRTSCHAFT</t>
        </is>
      </c>
      <c r="C24" s="11" t="inlineStr">
        <is>
          <t>Country and sector reports from the Austrian trade offices.</t>
        </is>
      </c>
      <c r="D24" s="11" t="inlineStr">
        <is>
          <t>Political; Economic; Legal</t>
        </is>
      </c>
      <c r="E24" s="11" t="inlineStr">
        <is>
          <t>Free (some need login)</t>
        </is>
      </c>
      <c r="F24" s="11" t="inlineStr">
        <is>
          <t>https://www.wko.at/aussenwirtschaft/berichte</t>
        </is>
      </c>
    </row>
    <row r="26">
      <c r="A26" s="2" t="inlineStr">
        <is>
          <t>Access labels follow the instructor's background collection. Entries marked "not checked" were added from general knowledge: verify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2026-10-13T15:39:39Z</dcterms:created>
  <dcterms:modified xmlns:dcterms="http://purl.org/dc/terms/" xmlns:xsi="http://www.w3.org/2001/XMLSchema-instance" xsi:type="dcterms:W3CDTF">2026-10-13T15:39:39Z</dcterms:modified>
</cp:coreProperties>
</file>