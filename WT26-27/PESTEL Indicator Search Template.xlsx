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PESTEL guide" sheetId="2" state="visible" r:id="rId2"/>
    <sheet xmlns:r="http://schemas.openxmlformats.org/officeDocument/2006/relationships" name="Long list" sheetId="3" state="visible" r:id="rId3"/>
    <sheet xmlns:r="http://schemas.openxmlformats.org/officeDocument/2006/relationships" name="Summary" sheetId="4" state="visible" r:id="rId4"/>
  </sheets>
  <definedNames>
    <definedName name="_xlnm._FilterDatabase" localSheetId="2" hidden="1">'Long list'!$A$1:$Q$100</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Verdana"/>
      <b val="1"/>
      <color rgb="00002350"/>
      <sz val="14"/>
    </font>
    <font>
      <name val="Verdana"/>
      <color rgb="00595959"/>
      <sz val="10"/>
    </font>
    <font>
      <name val="Verdana"/>
      <b val="1"/>
      <sz val="10"/>
    </font>
    <font>
      <name val="Verdana"/>
      <sz val="10"/>
    </font>
    <font>
      <name val="Verdana"/>
      <color rgb="000000FF"/>
      <sz val="10"/>
    </font>
    <font>
      <name val="Verdana"/>
      <b val="1"/>
      <color rgb="00FFFFFF"/>
      <sz val="10"/>
    </font>
    <font>
      <name val="Verdana"/>
      <b val="1"/>
      <color rgb="00FFFFFF"/>
      <sz val="9"/>
    </font>
    <font>
      <name val="Verdana"/>
      <sz val="9"/>
    </font>
    <font>
      <name val="Verdana"/>
      <color rgb="000000FF"/>
      <sz val="9"/>
    </font>
    <font>
      <name val="Verdana"/>
      <b val="1"/>
      <color rgb="00002060"/>
      <sz val="14"/>
    </font>
    <font>
      <name val="Verdana"/>
      <color rgb="00595959"/>
      <sz val="9"/>
    </font>
    <font>
      <name val="Verdana"/>
      <b val="1"/>
      <sz val="9"/>
    </font>
  </fonts>
  <fills count="8">
    <fill>
      <patternFill/>
    </fill>
    <fill>
      <patternFill patternType="gray125"/>
    </fill>
    <fill>
      <patternFill patternType="solid">
        <fgColor rgb="00F2F2F2"/>
      </patternFill>
    </fill>
    <fill>
      <patternFill patternType="solid">
        <fgColor rgb="00FFFF00"/>
      </patternFill>
    </fill>
    <fill>
      <patternFill patternType="solid">
        <fgColor rgb="00002350"/>
      </patternFill>
    </fill>
    <fill>
      <patternFill patternType="solid">
        <fgColor rgb="00E5F5FA"/>
      </patternFill>
    </fill>
    <fill>
      <patternFill patternType="solid">
        <fgColor rgb="00002060"/>
      </patternFill>
    </fill>
    <fill>
      <patternFill patternType="solid">
        <fgColor rgb="00DDEBF7"/>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2" borderId="0" applyAlignment="1" pivotButton="0" quotePrefix="0" xfId="0">
      <alignment vertical="top" wrapText="1"/>
    </xf>
    <xf numFmtId="0" fontId="4" fillId="3" borderId="0" applyAlignment="1" pivotButton="0" quotePrefix="0" xfId="0">
      <alignment vertical="top" wrapText="1"/>
    </xf>
    <xf numFmtId="0" fontId="5" fillId="3" borderId="0" applyAlignment="1" pivotButton="0" quotePrefix="0" xfId="0">
      <alignment vertical="top" wrapText="1"/>
    </xf>
    <xf numFmtId="0" fontId="6" fillId="4" borderId="1" applyAlignment="1" pivotButton="0" quotePrefix="0" xfId="0">
      <alignment horizontal="center" vertical="center" wrapText="1"/>
    </xf>
    <xf numFmtId="0" fontId="3" fillId="0" borderId="1" applyAlignment="1" pivotButton="0" quotePrefix="0" xfId="0">
      <alignment vertical="top" wrapText="1"/>
    </xf>
    <xf numFmtId="0" fontId="5" fillId="0" borderId="1" applyAlignment="1" pivotButton="0" quotePrefix="0" xfId="0">
      <alignment vertical="top" wrapText="1"/>
    </xf>
    <xf numFmtId="0" fontId="3" fillId="5" borderId="1" applyAlignment="1" pivotButton="0" quotePrefix="0" xfId="0">
      <alignment vertical="top" wrapText="1"/>
    </xf>
    <xf numFmtId="0" fontId="4" fillId="0" borderId="1" applyAlignment="1" pivotButton="0" quotePrefix="0" xfId="0">
      <alignment vertical="top" wrapText="1"/>
    </xf>
    <xf numFmtId="0" fontId="4" fillId="2" borderId="1" applyAlignment="1" pivotButton="0" quotePrefix="0" xfId="0">
      <alignment vertical="top" wrapText="1"/>
    </xf>
    <xf numFmtId="49" fontId="5" fillId="0" borderId="1" applyAlignment="1" pivotButton="0" quotePrefix="0" xfId="0">
      <alignment vertical="top" wrapText="1"/>
    </xf>
    <xf numFmtId="0" fontId="3" fillId="2" borderId="1" applyAlignment="1" pivotButton="0" quotePrefix="0" xfId="0">
      <alignment vertical="top" wrapText="1"/>
    </xf>
    <xf numFmtId="0" fontId="0" fillId="0" borderId="4" pivotButton="0" quotePrefix="0" xfId="0"/>
    <xf numFmtId="0" fontId="7" fillId="6" borderId="1" applyAlignment="1" pivotButton="0" quotePrefix="0" xfId="0">
      <alignment horizontal="center" vertical="top" wrapText="1"/>
    </xf>
    <xf numFmtId="0" fontId="8" fillId="2" borderId="1" applyAlignment="1" pivotButton="0" quotePrefix="0" xfId="0">
      <alignment horizontal="center" vertical="top" wrapText="1"/>
    </xf>
    <xf numFmtId="0" fontId="8" fillId="2" borderId="1" applyAlignment="1" pivotButton="0" quotePrefix="0" xfId="0">
      <alignment vertical="top" wrapText="1"/>
    </xf>
    <xf numFmtId="0" fontId="9" fillId="0" borderId="1" applyAlignment="1" pivotButton="0" quotePrefix="0" xfId="0">
      <alignment vertical="top" wrapText="1"/>
    </xf>
    <xf numFmtId="0" fontId="9" fillId="0" borderId="1" applyAlignment="1" pivotButton="0" quotePrefix="0" xfId="0">
      <alignment horizontal="center" vertical="top" wrapText="1"/>
    </xf>
    <xf numFmtId="0" fontId="10" fillId="0" borderId="0" pivotButton="0" quotePrefix="0" xfId="0"/>
    <xf numFmtId="0" fontId="11" fillId="0" borderId="0" pivotButton="0" quotePrefix="0" xfId="0"/>
    <xf numFmtId="0" fontId="12" fillId="0" borderId="1" applyAlignment="1" pivotButton="0" quotePrefix="0" xfId="0">
      <alignment vertical="top" wrapText="1"/>
    </xf>
    <xf numFmtId="0" fontId="12" fillId="7" borderId="1" applyAlignment="1" pivotButton="0" quotePrefix="0" xfId="0">
      <alignment vertical="top" wrapText="1"/>
    </xf>
    <xf numFmtId="0" fontId="12" fillId="2" borderId="1" applyAlignment="1" pivotButton="0" quotePrefix="0" xfId="0">
      <alignment horizontal="center" vertical="top" wrapText="1"/>
    </xf>
  </cellXfs>
  <cellStyles count="1">
    <cellStyle name="Normal" xfId="0" builtinId="0" hidden="0"/>
  </cellStyles>
  <dxfs count="5">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ont>
        <name val="Verdana"/>
        <b val="1"/>
        <color rgb="00C00000"/>
        <sz val="10"/>
      </font>
    </dxf>
    <dxf>
      <fill>
        <patternFill patternType="solid">
          <fgColor rgb="00C6E0B4"/>
          <bgColor rgb="00C6E0B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4"/>
  <sheetViews>
    <sheetView showGridLines="1" workbookViewId="0">
      <selection activeCell="A1" sqref="A1"/>
    </sheetView>
  </sheetViews>
  <sheetFormatPr baseColWidth="8" defaultRowHeight="15"/>
  <cols>
    <col width="30" customWidth="1" min="1" max="1"/>
    <col width="110" customWidth="1" min="2" max="2"/>
  </cols>
  <sheetData>
    <row r="1">
      <c r="A1" s="1" t="inlineStr">
        <is>
          <t>PESTEL indicator search: Julius Meinl in Latin America</t>
        </is>
      </c>
    </row>
    <row r="2">
      <c r="A2" s="2" t="inlineStr">
        <is>
          <t>Business Projects WT 2026/27, midterm presentation (country selection). Countries: Argentina, Brazil, Chile, Colombia, Mexico, Uruguay.</t>
        </is>
      </c>
    </row>
    <row r="4" ht="70" customHeight="1">
      <c r="A4" s="3" t="inlineStr">
        <is>
          <t>Purpose</t>
        </is>
      </c>
      <c r="B4" s="4" t="inlineStr">
        <is>
          <t>Step 1 of the scoring method. Each group finds 45 criteria (indicators) that could describe the six countries for a premium coffee launch by Julius Meinl: 5 political, 10 economic, 10 social, 10 technological, 5 environmental and 5 legal. The instructor merges the lists of all groups and selects the final criteria. After that, every group enters the raw data of its own country in the shared sheet "Country scoring model". The source is therefore essential: if your criterion is selected, the other groups must be able to find the data for their countries.</t>
        </is>
      </c>
    </row>
    <row r="6" ht="44" customHeight="1">
      <c r="A6" s="3" t="inlineStr">
        <is>
          <t>What to do</t>
        </is>
      </c>
      <c r="B6" s="4" t="inlineStr">
        <is>
          <t>1. Make your own copy: File &gt; Make a copy. Name it "Group X: PESTEL indicators". Share it with your team members (Editor) and with the instructor (Editor): arne.floh@wu.ac.at.</t>
        </is>
      </c>
    </row>
    <row r="7" ht="30" customHeight="1">
      <c r="B7" s="4" t="inlineStr">
        <is>
          <t>2. Read the tab "PESTEL guide" to see what each dimension covers and which question it answers for Julius Meinl.</t>
        </is>
      </c>
    </row>
    <row r="8" ht="44" customHeight="1">
      <c r="B8" s="4" t="inlineStr">
        <is>
          <t>3. In the tab "Long list" the 45 rows are numbered by dimension: PO01 to PO05 (political), EC01 to EC10 (economic), SO01 to SO10 (social), TE01 to TE10 (technological), EN01 to EN05 (environmental) and LE01 to LE05 (legal). Each row is one criterion. Do not change the IDs or the dimensions.</t>
        </is>
      </c>
    </row>
    <row r="9" ht="44" customHeight="1">
      <c r="B9" s="4" t="inlineStr">
        <is>
          <t>4. For every row, fill in the indicator, what it measures, the direction, the source name, the source link and the latest year. The link opens the page where the data can be downloaded. Open the source and check whether data exist for each of the six countries. Set each country to Yes, Partly, No or Not checked. The instructor has not checked coverage: this is your first task.</t>
        </is>
      </c>
    </row>
    <row r="10" ht="44" customHeight="1">
      <c r="B10" s="4" t="inlineStr">
        <is>
          <t>5. In the column "What it measures" write the definition, the unit and the steps another group needs to find the numbers (for example: open the database, choose the indicator, select the country and the latest year). Qualitative criteria need a rubric with the meaning of the scores 1 to 5.</t>
        </is>
      </c>
    </row>
    <row r="11" ht="30" customHeight="1">
      <c r="B11" s="4" t="inlineStr">
        <is>
          <t>6. Rate each criterion for relevance and data quality (1 to 5).</t>
        </is>
      </c>
    </row>
    <row r="12" ht="44" customHeight="1">
      <c r="B12" s="4" t="inlineStr">
        <is>
          <t>7. Use the Summary tab to check that you have 45 complete criteria (indicator, source name and source link filled in), the right number per dimension, and data for all six countries.</t>
        </is>
      </c>
    </row>
    <row r="13" ht="44" customHeight="1">
      <c r="B13" s="4" t="inlineStr">
        <is>
          <t>8. Submit your sheet by session 3 (Monday 19 October 2026). The instructor merges all group sheets, preselects the final criteria and publishes the sheet "Country scoring model" with the selected criteria. You then enter the numbers of your country there.</t>
        </is>
      </c>
    </row>
    <row r="14" ht="30" customHeight="1">
      <c r="A14" s="3" t="inlineStr">
        <is>
          <t>Rules</t>
        </is>
      </c>
      <c r="B14" s="4" t="inlineStr">
        <is>
          <t>A source name and a working link are required for every criterion. The link opens the page where the data can be downloaded, not the home page of the publisher.</t>
        </is>
      </c>
    </row>
    <row r="15" ht="30" customHeight="1">
      <c r="B15" s="4" t="inlineStr">
        <is>
          <t>Write the latest year as text, for example 2024. Check the latest edition before you rely on a number.</t>
        </is>
      </c>
    </row>
    <row r="16" ht="30" customHeight="1">
      <c r="B16" s="4" t="inlineStr">
        <is>
          <t>Fill every row. If you cannot find a criterion with data for all six countries, replace it with another one rather than leaving it empty.</t>
        </is>
      </c>
    </row>
    <row r="17" ht="30" customHeight="1">
      <c r="B17" s="4" t="inlineStr">
        <is>
          <t>AI tools may help you to find indicators. Open the source yourself and confirm the data exist for all six countries before you enter Yes. List the tools you used in "What it measures".</t>
        </is>
      </c>
    </row>
    <row r="18" ht="30" customHeight="1">
      <c r="B18" s="4" t="inlineStr">
        <is>
          <t>Qualitative indicators need a rubric: write the meaning of each score from 1 to 5 in "What it measures".</t>
        </is>
      </c>
    </row>
    <row r="20">
      <c r="A20" s="3" t="inlineStr">
        <is>
          <t>Colour code</t>
        </is>
      </c>
      <c r="B20" s="5" t="inlineStr">
        <is>
          <t>Blue text: typed by you or by the instructor (inputs).</t>
        </is>
      </c>
    </row>
    <row r="21">
      <c r="B21" s="6" t="inlineStr">
        <is>
          <t>Black text on grey: formula, do not edit.</t>
        </is>
      </c>
    </row>
    <row r="22">
      <c r="B22" s="7" t="inlineStr">
        <is>
          <t>Yellow fill: still to be confirmed by the instructor.</t>
        </is>
      </c>
    </row>
    <row r="24">
      <c r="A24" s="3" t="inlineStr">
        <is>
          <t>Deadline for the proposals</t>
        </is>
      </c>
      <c r="B24" s="8" t="inlineStr">
        <is>
          <t>Session 3: Monday 19 October 2026</t>
        </is>
      </c>
    </row>
    <row r="27">
      <c r="A27" s="3" t="inlineStr">
        <is>
          <t>How to fill in a row (example)</t>
        </is>
      </c>
    </row>
    <row r="28" ht="20" customHeight="1">
      <c r="A28" s="9" t="inlineStr">
        <is>
          <t>Column in "Long list"</t>
        </is>
      </c>
      <c r="B28" s="9" t="inlineStr">
        <is>
          <t>Example entry</t>
        </is>
      </c>
    </row>
    <row r="29" ht="20" customHeight="1">
      <c r="A29" s="10" t="inlineStr">
        <is>
          <t>ID, PESTEL dimension</t>
        </is>
      </c>
      <c r="B29" s="11" t="inlineStr">
        <is>
          <t>EC01, Economic (already filled in)</t>
        </is>
      </c>
    </row>
    <row r="30" ht="20" customHeight="1">
      <c r="A30" s="10" t="inlineStr">
        <is>
          <t>Indicator</t>
        </is>
      </c>
      <c r="B30" s="11" t="inlineStr">
        <is>
          <t>GDP per capita, PPP</t>
        </is>
      </c>
    </row>
    <row r="31" ht="44" customHeight="1">
      <c r="A31" s="10" t="inlineStr">
        <is>
          <t>What it measures</t>
        </is>
      </c>
      <c r="B31" s="11" t="inlineStr">
        <is>
          <t>Output per person, adjusted for differences in price levels. Unit: international dollars. How to find: open the World Development Indicators, search "GDP per capita, PPP", select the six countries and the latest year.</t>
        </is>
      </c>
    </row>
    <row r="32" ht="20" customHeight="1">
      <c r="A32" s="10" t="inlineStr">
        <is>
          <t>Direction</t>
        </is>
      </c>
      <c r="B32" s="11" t="inlineStr">
        <is>
          <t>Higher is better</t>
        </is>
      </c>
    </row>
    <row r="33" ht="20" customHeight="1">
      <c r="A33" s="10" t="inlineStr">
        <is>
          <t>Source name</t>
        </is>
      </c>
      <c r="B33" s="11" t="inlineStr">
        <is>
          <t>World Development Indicators, World Bank</t>
        </is>
      </c>
    </row>
    <row r="34" ht="20" customHeight="1">
      <c r="A34" s="10" t="inlineStr">
        <is>
          <t>Source link</t>
        </is>
      </c>
      <c r="B34" s="11" t="inlineStr">
        <is>
          <t>https://databank.worldbank.org/source/world-development-indicators</t>
        </is>
      </c>
    </row>
    <row r="35" ht="20" customHeight="1">
      <c r="A35" s="10" t="inlineStr">
        <is>
          <t>Latest year</t>
        </is>
      </c>
      <c r="B35" s="11" t="inlineStr">
        <is>
          <t>2024</t>
        </is>
      </c>
    </row>
    <row r="36" ht="20" customHeight="1">
      <c r="A36" s="10" t="inlineStr">
        <is>
          <t>Argentina to Uruguay</t>
        </is>
      </c>
      <c r="B36" s="11" t="inlineStr">
        <is>
          <t>Yes (six columns, one per country)</t>
        </is>
      </c>
    </row>
    <row r="37" ht="20" customHeight="1">
      <c r="A37" s="10" t="inlineStr">
        <is>
          <t>Countries covered</t>
        </is>
      </c>
      <c r="B37" s="11" t="inlineStr">
        <is>
          <t>Calculated automatically</t>
        </is>
      </c>
    </row>
    <row r="38" ht="20" customHeight="1">
      <c r="A38" s="10" t="inlineStr">
        <is>
          <t>Relevance (1-5), Data quality (1-5)</t>
        </is>
      </c>
      <c r="B38" s="11" t="inlineStr">
        <is>
          <t>4 and 5</t>
        </is>
      </c>
    </row>
    <row r="39">
      <c r="A39" s="10" t="n"/>
      <c r="B39" s="11" t="n"/>
    </row>
    <row r="40">
      <c r="A40" s="10" t="n"/>
      <c r="B40" s="11" t="n"/>
    </row>
    <row r="41">
      <c r="A41" s="10" t="n"/>
      <c r="B41" s="11" t="n"/>
    </row>
    <row r="42">
      <c r="A42" s="10" t="n"/>
      <c r="B42" s="11" t="n"/>
    </row>
    <row r="43">
      <c r="A43" s="10" t="n"/>
      <c r="B43" s="11" t="n"/>
    </row>
    <row r="44">
      <c r="A44" s="10" t="n"/>
      <c r="B44" s="11"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7"/>
  <sheetViews>
    <sheetView showGridLines="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9" customWidth="1" min="1" max="1"/>
    <col width="50" customWidth="1" min="2" max="2"/>
    <col width="55" customWidth="1" min="3" max="3"/>
    <col width="38" customWidth="1" min="4" max="4"/>
    <col width="62" customWidth="1" min="5" max="5"/>
  </cols>
  <sheetData>
    <row r="1">
      <c r="A1" s="9" t="inlineStr">
        <is>
          <t>Dimension</t>
        </is>
      </c>
      <c r="B1" s="9" t="inlineStr">
        <is>
          <t>What it covers for a premium coffee launch</t>
        </is>
      </c>
      <c r="C1" s="9" t="inlineStr">
        <is>
          <t>Question to answer for Julius Meinl</t>
        </is>
      </c>
      <c r="D1" s="9" t="inlineStr">
        <is>
          <t>Related Julius Meinl dimensions</t>
        </is>
      </c>
      <c r="E1" s="9" t="inlineStr">
        <is>
          <t>Ideas to search for</t>
        </is>
      </c>
    </row>
    <row r="2" ht="70" customHeight="1">
      <c r="A2" s="12" t="inlineStr">
        <is>
          <t>Political</t>
        </is>
      </c>
      <c r="B2" s="13" t="inlineStr">
        <is>
          <t>Stability, governance quality, and the government's stance on trade and foreign business.</t>
        </is>
      </c>
      <c r="C2" s="13" t="inlineStr">
        <is>
          <t>Can a foreign premium brand and its local partner operate here without political or institutional surprises?</t>
        </is>
      </c>
      <c r="D2" s="13" t="inlineStr">
        <is>
          <t>Import and regulation</t>
        </is>
      </c>
      <c r="E2" s="13" t="inlineStr">
        <is>
          <t>Political stability, government effectiveness, corruption perception, economic freedom, trade agreement with the EU, country risk rating.</t>
        </is>
      </c>
    </row>
    <row r="3" ht="70" customHeight="1">
      <c r="A3" s="12" t="inlineStr">
        <is>
          <t>Economic</t>
        </is>
      </c>
      <c r="B3" s="13" t="inlineStr">
        <is>
          <t>Size, growth and spending power of the economy, tourism income, trade conditions and costs.</t>
        </is>
      </c>
      <c r="C3" s="13" t="inlineStr">
        <is>
          <t>Is there enough premium demand, and can Julius Meinl reach it at a viable cost?</t>
        </is>
      </c>
      <c r="D3" s="13" t="inlineStr">
        <is>
          <t>Premium coffee segment; Purchasing power; Tourism and hotels; Import and regulation</t>
        </is>
      </c>
      <c r="E3" s="13" t="inlineStr">
        <is>
          <t>GDP per capita (PPP), growth, household consumption, inflation and exchange rate, tourism receipts, coffee imports, tariffs on roasted coffee.</t>
        </is>
      </c>
    </row>
    <row r="4" ht="70" customHeight="1">
      <c r="A4" s="12" t="inlineStr">
        <is>
          <t>Social</t>
        </is>
      </c>
      <c r="B4" s="13" t="inlineStr">
        <is>
          <t>Demographics, lifestyle, culture and consumption habits, visitors.</t>
        </is>
      </c>
      <c r="C4" s="13" t="inlineStr">
        <is>
          <t>Do consumers and hotel guests value what Julius Meinl sells: Viennese coffee house culture, service and time for a cup of coffee?</t>
        </is>
      </c>
      <c r="D4" s="13" t="inlineStr">
        <is>
          <t>Coffee culture; Tourism and hotels</t>
        </is>
      </c>
      <c r="E4" s="13" t="inlineStr">
        <is>
          <t>Coffee consumption per capita, urbanisation, cultural distance from Austria, visitors from Europe, café culture, European influence.</t>
        </is>
      </c>
    </row>
    <row r="5" ht="70" customHeight="1">
      <c r="A5" s="12" t="inlineStr">
        <is>
          <t>Technological</t>
        </is>
      </c>
      <c r="B5" s="13" t="inlineStr">
        <is>
          <t>Digital and logistics infrastructure, and how people shop and pay.</t>
        </is>
      </c>
      <c r="C5" s="13" t="inlineStr">
        <is>
          <t>Can Julius Meinl reach customers through modern channels with reliable logistics?</t>
        </is>
      </c>
      <c r="D5" s="13" t="inlineStr">
        <is>
          <t>Premium coffee segment; Import and regulation</t>
        </is>
      </c>
      <c r="E5" s="13" t="inlineStr">
        <is>
          <t>Internet use, online retail and food delivery, digital payments, logistics performance, innovation capability.</t>
        </is>
      </c>
    </row>
    <row r="6" ht="70" customHeight="1">
      <c r="A6" s="12" t="inlineStr">
        <is>
          <t>Environmental</t>
        </is>
      </c>
      <c r="B6" s="13" t="inlineStr">
        <is>
          <t>Climate, sustainability expectations and supply risks.</t>
        </is>
      </c>
      <c r="C6" s="13" t="inlineStr">
        <is>
          <t>Do sustainability expectations or climate risks change demand, supply or the fit of the brand?</t>
        </is>
      </c>
      <c r="D6" s="13" t="inlineStr">
        <is>
          <t>Coffee culture; Competitive landscape</t>
        </is>
      </c>
      <c r="E6" s="13" t="inlineStr">
        <is>
          <t>Climate vulnerability, environmental performance, demand for certified coffee, domestic coffee production.</t>
        </is>
      </c>
    </row>
    <row r="7" ht="70" customHeight="1">
      <c r="A7" s="12" t="inlineStr">
        <is>
          <t>Legal</t>
        </is>
      </c>
      <c r="B7" s="13" t="inlineStr">
        <is>
          <t>Rules for importing, selling and doing business, and how reliably they are enforced.</t>
        </is>
      </c>
      <c r="C7" s="13" t="inlineStr">
        <is>
          <t>What must Julius Meinl comply with, and can contracts with a local partner be enforced?</t>
        </is>
      </c>
      <c r="D7" s="13" t="inlineStr">
        <is>
          <t>Import and regulation</t>
        </is>
      </c>
      <c r="E7" s="13" t="inlineStr">
        <is>
          <t>Regulatory quality, rule of law, product and labelling requirements, trademark protection, rules on ending distribution agreements, ease of doing business.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1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34" customWidth="1" min="3" max="3"/>
    <col width="50" customWidth="1" min="4" max="4"/>
    <col width="17" customWidth="1" min="5" max="5"/>
    <col width="30" customWidth="1" min="6" max="6"/>
    <col width="40"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s>
  <sheetData>
    <row r="1" ht="42" customHeight="1">
      <c r="A1" s="18" t="inlineStr">
        <is>
          <t>ID</t>
        </is>
      </c>
      <c r="B1" s="18" t="inlineStr">
        <is>
          <t>PESTEL dimension</t>
        </is>
      </c>
      <c r="C1" s="18" t="inlineStr">
        <is>
          <t>Indicator</t>
        </is>
      </c>
      <c r="D1" s="18" t="inlineStr">
        <is>
          <t>What it measures</t>
        </is>
      </c>
      <c r="E1" s="18" t="inlineStr">
        <is>
          <t>Direction</t>
        </is>
      </c>
      <c r="F1" s="18" t="inlineStr">
        <is>
          <t>Source name</t>
        </is>
      </c>
      <c r="G1" s="18" t="inlineStr">
        <is>
          <t>Source link</t>
        </is>
      </c>
      <c r="H1" s="18" t="inlineStr">
        <is>
          <t>Latest year</t>
        </is>
      </c>
      <c r="I1" s="18" t="inlineStr">
        <is>
          <t>Argentina</t>
        </is>
      </c>
      <c r="J1" s="18" t="inlineStr">
        <is>
          <t>Brazil</t>
        </is>
      </c>
      <c r="K1" s="18" t="inlineStr">
        <is>
          <t>Chile</t>
        </is>
      </c>
      <c r="L1" s="18" t="inlineStr">
        <is>
          <t>Colombia</t>
        </is>
      </c>
      <c r="M1" s="18" t="inlineStr">
        <is>
          <t>Mexico</t>
        </is>
      </c>
      <c r="N1" s="18" t="inlineStr">
        <is>
          <t>Uruguay</t>
        </is>
      </c>
      <c r="O1" s="18" t="inlineStr">
        <is>
          <t>Countries covered</t>
        </is>
      </c>
      <c r="P1" s="18" t="inlineStr">
        <is>
          <t>Relevance (1-5)</t>
        </is>
      </c>
      <c r="Q1" s="18" t="inlineStr">
        <is>
          <t>Data quality (1-5)</t>
        </is>
      </c>
    </row>
    <row r="2">
      <c r="A2" s="19" t="inlineStr">
        <is>
          <t>PO01</t>
        </is>
      </c>
      <c r="B2" s="20" t="inlineStr">
        <is>
          <t>Political</t>
        </is>
      </c>
      <c r="C2" s="21" t="n"/>
      <c r="D2" s="21" t="n"/>
      <c r="E2" s="21" t="n"/>
      <c r="F2" s="21" t="n"/>
      <c r="G2" s="21" t="n"/>
      <c r="H2" s="21" t="n"/>
      <c r="I2" s="22" t="inlineStr">
        <is>
          <t>Not checked</t>
        </is>
      </c>
      <c r="J2" s="22" t="inlineStr">
        <is>
          <t>Not checked</t>
        </is>
      </c>
      <c r="K2" s="22" t="inlineStr">
        <is>
          <t>Not checked</t>
        </is>
      </c>
      <c r="L2" s="22" t="inlineStr">
        <is>
          <t>Not checked</t>
        </is>
      </c>
      <c r="M2" s="22" t="inlineStr">
        <is>
          <t>Not checked</t>
        </is>
      </c>
      <c r="N2" s="22" t="inlineStr">
        <is>
          <t>Not checked</t>
        </is>
      </c>
      <c r="O2" s="19">
        <f>IF(C2="","",COUNTIF(I2:N2,"Yes"))</f>
        <v/>
      </c>
      <c r="P2" s="22" t="n"/>
      <c r="Q2" s="22" t="n"/>
    </row>
    <row r="3">
      <c r="A3" s="19" t="inlineStr">
        <is>
          <t>PO02</t>
        </is>
      </c>
      <c r="B3" s="20" t="inlineStr">
        <is>
          <t>Political</t>
        </is>
      </c>
      <c r="C3" s="21" t="n"/>
      <c r="D3" s="21" t="n"/>
      <c r="E3" s="21" t="n"/>
      <c r="F3" s="21" t="n"/>
      <c r="G3" s="21" t="n"/>
      <c r="H3" s="21" t="n"/>
      <c r="I3" s="22" t="inlineStr">
        <is>
          <t>Not checked</t>
        </is>
      </c>
      <c r="J3" s="22" t="inlineStr">
        <is>
          <t>Not checked</t>
        </is>
      </c>
      <c r="K3" s="22" t="inlineStr">
        <is>
          <t>Not checked</t>
        </is>
      </c>
      <c r="L3" s="22" t="inlineStr">
        <is>
          <t>Not checked</t>
        </is>
      </c>
      <c r="M3" s="22" t="inlineStr">
        <is>
          <t>Not checked</t>
        </is>
      </c>
      <c r="N3" s="22" t="inlineStr">
        <is>
          <t>Not checked</t>
        </is>
      </c>
      <c r="O3" s="19">
        <f>IF(C3="","",COUNTIF(I3:N3,"Yes"))</f>
        <v/>
      </c>
      <c r="P3" s="22" t="n"/>
      <c r="Q3" s="22" t="n"/>
    </row>
    <row r="4">
      <c r="A4" s="19" t="inlineStr">
        <is>
          <t>PO03</t>
        </is>
      </c>
      <c r="B4" s="20" t="inlineStr">
        <is>
          <t>Political</t>
        </is>
      </c>
      <c r="C4" s="21" t="n"/>
      <c r="D4" s="21" t="n"/>
      <c r="E4" s="21" t="n"/>
      <c r="F4" s="21" t="n"/>
      <c r="G4" s="21" t="n"/>
      <c r="H4" s="21" t="n"/>
      <c r="I4" s="22" t="inlineStr">
        <is>
          <t>Not checked</t>
        </is>
      </c>
      <c r="J4" s="22" t="inlineStr">
        <is>
          <t>Not checked</t>
        </is>
      </c>
      <c r="K4" s="22" t="inlineStr">
        <is>
          <t>Not checked</t>
        </is>
      </c>
      <c r="L4" s="22" t="inlineStr">
        <is>
          <t>Not checked</t>
        </is>
      </c>
      <c r="M4" s="22" t="inlineStr">
        <is>
          <t>Not checked</t>
        </is>
      </c>
      <c r="N4" s="22" t="inlineStr">
        <is>
          <t>Not checked</t>
        </is>
      </c>
      <c r="O4" s="19">
        <f>IF(C4="","",COUNTIF(I4:N4,"Yes"))</f>
        <v/>
      </c>
      <c r="P4" s="22" t="n"/>
      <c r="Q4" s="22" t="n"/>
    </row>
    <row r="5">
      <c r="A5" s="19" t="inlineStr">
        <is>
          <t>PO04</t>
        </is>
      </c>
      <c r="B5" s="20" t="inlineStr">
        <is>
          <t>Political</t>
        </is>
      </c>
      <c r="C5" s="21" t="n"/>
      <c r="D5" s="21" t="n"/>
      <c r="E5" s="21" t="n"/>
      <c r="F5" s="21" t="n"/>
      <c r="G5" s="21" t="n"/>
      <c r="H5" s="21" t="n"/>
      <c r="I5" s="22" t="inlineStr">
        <is>
          <t>Not checked</t>
        </is>
      </c>
      <c r="J5" s="22" t="inlineStr">
        <is>
          <t>Not checked</t>
        </is>
      </c>
      <c r="K5" s="22" t="inlineStr">
        <is>
          <t>Not checked</t>
        </is>
      </c>
      <c r="L5" s="22" t="inlineStr">
        <is>
          <t>Not checked</t>
        </is>
      </c>
      <c r="M5" s="22" t="inlineStr">
        <is>
          <t>Not checked</t>
        </is>
      </c>
      <c r="N5" s="22" t="inlineStr">
        <is>
          <t>Not checked</t>
        </is>
      </c>
      <c r="O5" s="19">
        <f>IF(C5="","",COUNTIF(I5:N5,"Yes"))</f>
        <v/>
      </c>
      <c r="P5" s="22" t="n"/>
      <c r="Q5" s="22" t="n"/>
    </row>
    <row r="6">
      <c r="A6" s="19" t="inlineStr">
        <is>
          <t>PO05</t>
        </is>
      </c>
      <c r="B6" s="20" t="inlineStr">
        <is>
          <t>Political</t>
        </is>
      </c>
      <c r="C6" s="21" t="n"/>
      <c r="D6" s="21" t="n"/>
      <c r="E6" s="21" t="n"/>
      <c r="F6" s="21" t="n"/>
      <c r="G6" s="21" t="n"/>
      <c r="H6" s="21" t="n"/>
      <c r="I6" s="22" t="inlineStr">
        <is>
          <t>Not checked</t>
        </is>
      </c>
      <c r="J6" s="22" t="inlineStr">
        <is>
          <t>Not checked</t>
        </is>
      </c>
      <c r="K6" s="22" t="inlineStr">
        <is>
          <t>Not checked</t>
        </is>
      </c>
      <c r="L6" s="22" t="inlineStr">
        <is>
          <t>Not checked</t>
        </is>
      </c>
      <c r="M6" s="22" t="inlineStr">
        <is>
          <t>Not checked</t>
        </is>
      </c>
      <c r="N6" s="22" t="inlineStr">
        <is>
          <t>Not checked</t>
        </is>
      </c>
      <c r="O6" s="19">
        <f>IF(C6="","",COUNTIF(I6:N6,"Yes"))</f>
        <v/>
      </c>
      <c r="P6" s="22" t="n"/>
      <c r="Q6" s="22" t="n"/>
    </row>
    <row r="7">
      <c r="A7" s="19" t="inlineStr">
        <is>
          <t>EC01</t>
        </is>
      </c>
      <c r="B7" s="20" t="inlineStr">
        <is>
          <t>Economic</t>
        </is>
      </c>
      <c r="C7" s="21" t="n"/>
      <c r="D7" s="21" t="n"/>
      <c r="E7" s="21" t="n"/>
      <c r="F7" s="21" t="n"/>
      <c r="G7" s="21" t="n"/>
      <c r="H7" s="21" t="n"/>
      <c r="I7" s="22" t="inlineStr">
        <is>
          <t>Not checked</t>
        </is>
      </c>
      <c r="J7" s="22" t="inlineStr">
        <is>
          <t>Not checked</t>
        </is>
      </c>
      <c r="K7" s="22" t="inlineStr">
        <is>
          <t>Not checked</t>
        </is>
      </c>
      <c r="L7" s="22" t="inlineStr">
        <is>
          <t>Not checked</t>
        </is>
      </c>
      <c r="M7" s="22" t="inlineStr">
        <is>
          <t>Not checked</t>
        </is>
      </c>
      <c r="N7" s="22" t="inlineStr">
        <is>
          <t>Not checked</t>
        </is>
      </c>
      <c r="O7" s="19">
        <f>IF(C7="","",COUNTIF(I7:N7,"Yes"))</f>
        <v/>
      </c>
      <c r="P7" s="22" t="n"/>
      <c r="Q7" s="22" t="n"/>
    </row>
    <row r="8">
      <c r="A8" s="19" t="inlineStr">
        <is>
          <t>EC02</t>
        </is>
      </c>
      <c r="B8" s="20" t="inlineStr">
        <is>
          <t>Economic</t>
        </is>
      </c>
      <c r="C8" s="21" t="n"/>
      <c r="D8" s="21" t="n"/>
      <c r="E8" s="21" t="n"/>
      <c r="F8" s="21" t="n"/>
      <c r="G8" s="21" t="n"/>
      <c r="H8" s="21" t="n"/>
      <c r="I8" s="22" t="inlineStr">
        <is>
          <t>Not checked</t>
        </is>
      </c>
      <c r="J8" s="22" t="inlineStr">
        <is>
          <t>Not checked</t>
        </is>
      </c>
      <c r="K8" s="22" t="inlineStr">
        <is>
          <t>Not checked</t>
        </is>
      </c>
      <c r="L8" s="22" t="inlineStr">
        <is>
          <t>Not checked</t>
        </is>
      </c>
      <c r="M8" s="22" t="inlineStr">
        <is>
          <t>Not checked</t>
        </is>
      </c>
      <c r="N8" s="22" t="inlineStr">
        <is>
          <t>Not checked</t>
        </is>
      </c>
      <c r="O8" s="19">
        <f>IF(C8="","",COUNTIF(I8:N8,"Yes"))</f>
        <v/>
      </c>
      <c r="P8" s="22" t="n"/>
      <c r="Q8" s="22" t="n"/>
    </row>
    <row r="9">
      <c r="A9" s="19" t="inlineStr">
        <is>
          <t>EC03</t>
        </is>
      </c>
      <c r="B9" s="20" t="inlineStr">
        <is>
          <t>Economic</t>
        </is>
      </c>
      <c r="C9" s="21" t="n"/>
      <c r="D9" s="21" t="n"/>
      <c r="E9" s="21" t="n"/>
      <c r="F9" s="21" t="n"/>
      <c r="G9" s="21" t="n"/>
      <c r="H9" s="21" t="n"/>
      <c r="I9" s="22" t="inlineStr">
        <is>
          <t>Not checked</t>
        </is>
      </c>
      <c r="J9" s="22" t="inlineStr">
        <is>
          <t>Not checked</t>
        </is>
      </c>
      <c r="K9" s="22" t="inlineStr">
        <is>
          <t>Not checked</t>
        </is>
      </c>
      <c r="L9" s="22" t="inlineStr">
        <is>
          <t>Not checked</t>
        </is>
      </c>
      <c r="M9" s="22" t="inlineStr">
        <is>
          <t>Not checked</t>
        </is>
      </c>
      <c r="N9" s="22" t="inlineStr">
        <is>
          <t>Not checked</t>
        </is>
      </c>
      <c r="O9" s="19">
        <f>IF(C9="","",COUNTIF(I9:N9,"Yes"))</f>
        <v/>
      </c>
      <c r="P9" s="22" t="n"/>
      <c r="Q9" s="22" t="n"/>
    </row>
    <row r="10">
      <c r="A10" s="19" t="inlineStr">
        <is>
          <t>EC04</t>
        </is>
      </c>
      <c r="B10" s="20" t="inlineStr">
        <is>
          <t>Economic</t>
        </is>
      </c>
      <c r="C10" s="21" t="n"/>
      <c r="D10" s="21" t="n"/>
      <c r="E10" s="21" t="n"/>
      <c r="F10" s="21" t="n"/>
      <c r="G10" s="21" t="n"/>
      <c r="H10" s="21" t="n"/>
      <c r="I10" s="22" t="inlineStr">
        <is>
          <t>Not checked</t>
        </is>
      </c>
      <c r="J10" s="22" t="inlineStr">
        <is>
          <t>Not checked</t>
        </is>
      </c>
      <c r="K10" s="22" t="inlineStr">
        <is>
          <t>Not checked</t>
        </is>
      </c>
      <c r="L10" s="22" t="inlineStr">
        <is>
          <t>Not checked</t>
        </is>
      </c>
      <c r="M10" s="22" t="inlineStr">
        <is>
          <t>Not checked</t>
        </is>
      </c>
      <c r="N10" s="22" t="inlineStr">
        <is>
          <t>Not checked</t>
        </is>
      </c>
      <c r="O10" s="19">
        <f>IF(C10="","",COUNTIF(I10:N10,"Yes"))</f>
        <v/>
      </c>
      <c r="P10" s="22" t="n"/>
      <c r="Q10" s="22" t="n"/>
    </row>
    <row r="11">
      <c r="A11" s="19" t="inlineStr">
        <is>
          <t>EC05</t>
        </is>
      </c>
      <c r="B11" s="20" t="inlineStr">
        <is>
          <t>Economic</t>
        </is>
      </c>
      <c r="C11" s="21" t="n"/>
      <c r="D11" s="21" t="n"/>
      <c r="E11" s="21" t="n"/>
      <c r="F11" s="21" t="n"/>
      <c r="G11" s="21" t="n"/>
      <c r="H11" s="21" t="n"/>
      <c r="I11" s="22" t="inlineStr">
        <is>
          <t>Not checked</t>
        </is>
      </c>
      <c r="J11" s="22" t="inlineStr">
        <is>
          <t>Not checked</t>
        </is>
      </c>
      <c r="K11" s="22" t="inlineStr">
        <is>
          <t>Not checked</t>
        </is>
      </c>
      <c r="L11" s="22" t="inlineStr">
        <is>
          <t>Not checked</t>
        </is>
      </c>
      <c r="M11" s="22" t="inlineStr">
        <is>
          <t>Not checked</t>
        </is>
      </c>
      <c r="N11" s="22" t="inlineStr">
        <is>
          <t>Not checked</t>
        </is>
      </c>
      <c r="O11" s="19">
        <f>IF(C11="","",COUNTIF(I11:N11,"Yes"))</f>
        <v/>
      </c>
      <c r="P11" s="22" t="n"/>
      <c r="Q11" s="22" t="n"/>
    </row>
    <row r="12">
      <c r="A12" s="19" t="inlineStr">
        <is>
          <t>EC06</t>
        </is>
      </c>
      <c r="B12" s="20" t="inlineStr">
        <is>
          <t>Economic</t>
        </is>
      </c>
      <c r="C12" s="21" t="n"/>
      <c r="D12" s="21" t="n"/>
      <c r="E12" s="21" t="n"/>
      <c r="F12" s="21" t="n"/>
      <c r="G12" s="21" t="n"/>
      <c r="H12" s="21" t="n"/>
      <c r="I12" s="22" t="inlineStr">
        <is>
          <t>Not checked</t>
        </is>
      </c>
      <c r="J12" s="22" t="inlineStr">
        <is>
          <t>Not checked</t>
        </is>
      </c>
      <c r="K12" s="22" t="inlineStr">
        <is>
          <t>Not checked</t>
        </is>
      </c>
      <c r="L12" s="22" t="inlineStr">
        <is>
          <t>Not checked</t>
        </is>
      </c>
      <c r="M12" s="22" t="inlineStr">
        <is>
          <t>Not checked</t>
        </is>
      </c>
      <c r="N12" s="22" t="inlineStr">
        <is>
          <t>Not checked</t>
        </is>
      </c>
      <c r="O12" s="19">
        <f>IF(C12="","",COUNTIF(I12:N12,"Yes"))</f>
        <v/>
      </c>
      <c r="P12" s="22" t="n"/>
      <c r="Q12" s="22" t="n"/>
    </row>
    <row r="13">
      <c r="A13" s="19" t="inlineStr">
        <is>
          <t>EC07</t>
        </is>
      </c>
      <c r="B13" s="20" t="inlineStr">
        <is>
          <t>Economic</t>
        </is>
      </c>
      <c r="C13" s="21" t="n"/>
      <c r="D13" s="21" t="n"/>
      <c r="E13" s="21" t="n"/>
      <c r="F13" s="21" t="n"/>
      <c r="G13" s="21" t="n"/>
      <c r="H13" s="21" t="n"/>
      <c r="I13" s="22" t="inlineStr">
        <is>
          <t>Not checked</t>
        </is>
      </c>
      <c r="J13" s="22" t="inlineStr">
        <is>
          <t>Not checked</t>
        </is>
      </c>
      <c r="K13" s="22" t="inlineStr">
        <is>
          <t>Not checked</t>
        </is>
      </c>
      <c r="L13" s="22" t="inlineStr">
        <is>
          <t>Not checked</t>
        </is>
      </c>
      <c r="M13" s="22" t="inlineStr">
        <is>
          <t>Not checked</t>
        </is>
      </c>
      <c r="N13" s="22" t="inlineStr">
        <is>
          <t>Not checked</t>
        </is>
      </c>
      <c r="O13" s="19">
        <f>IF(C13="","",COUNTIF(I13:N13,"Yes"))</f>
        <v/>
      </c>
      <c r="P13" s="22" t="n"/>
      <c r="Q13" s="22" t="n"/>
    </row>
    <row r="14">
      <c r="A14" s="19" t="inlineStr">
        <is>
          <t>EC08</t>
        </is>
      </c>
      <c r="B14" s="20" t="inlineStr">
        <is>
          <t>Economic</t>
        </is>
      </c>
      <c r="C14" s="21" t="n"/>
      <c r="D14" s="21" t="n"/>
      <c r="E14" s="21" t="n"/>
      <c r="F14" s="21" t="n"/>
      <c r="G14" s="21" t="n"/>
      <c r="H14" s="21" t="n"/>
      <c r="I14" s="22" t="inlineStr">
        <is>
          <t>Not checked</t>
        </is>
      </c>
      <c r="J14" s="22" t="inlineStr">
        <is>
          <t>Not checked</t>
        </is>
      </c>
      <c r="K14" s="22" t="inlineStr">
        <is>
          <t>Not checked</t>
        </is>
      </c>
      <c r="L14" s="22" t="inlineStr">
        <is>
          <t>Not checked</t>
        </is>
      </c>
      <c r="M14" s="22" t="inlineStr">
        <is>
          <t>Not checked</t>
        </is>
      </c>
      <c r="N14" s="22" t="inlineStr">
        <is>
          <t>Not checked</t>
        </is>
      </c>
      <c r="O14" s="19">
        <f>IF(C14="","",COUNTIF(I14:N14,"Yes"))</f>
        <v/>
      </c>
      <c r="P14" s="22" t="n"/>
      <c r="Q14" s="22" t="n"/>
    </row>
    <row r="15">
      <c r="A15" s="19" t="inlineStr">
        <is>
          <t>EC09</t>
        </is>
      </c>
      <c r="B15" s="20" t="inlineStr">
        <is>
          <t>Economic</t>
        </is>
      </c>
      <c r="C15" s="21" t="n"/>
      <c r="D15" s="21" t="n"/>
      <c r="E15" s="21" t="n"/>
      <c r="F15" s="21" t="n"/>
      <c r="G15" s="21" t="n"/>
      <c r="H15" s="21" t="n"/>
      <c r="I15" s="22" t="inlineStr">
        <is>
          <t>Not checked</t>
        </is>
      </c>
      <c r="J15" s="22" t="inlineStr">
        <is>
          <t>Not checked</t>
        </is>
      </c>
      <c r="K15" s="22" t="inlineStr">
        <is>
          <t>Not checked</t>
        </is>
      </c>
      <c r="L15" s="22" t="inlineStr">
        <is>
          <t>Not checked</t>
        </is>
      </c>
      <c r="M15" s="22" t="inlineStr">
        <is>
          <t>Not checked</t>
        </is>
      </c>
      <c r="N15" s="22" t="inlineStr">
        <is>
          <t>Not checked</t>
        </is>
      </c>
      <c r="O15" s="19">
        <f>IF(C15="","",COUNTIF(I15:N15,"Yes"))</f>
        <v/>
      </c>
      <c r="P15" s="22" t="n"/>
      <c r="Q15" s="22" t="n"/>
    </row>
    <row r="16">
      <c r="A16" s="19" t="inlineStr">
        <is>
          <t>EC10</t>
        </is>
      </c>
      <c r="B16" s="20" t="inlineStr">
        <is>
          <t>Economic</t>
        </is>
      </c>
      <c r="C16" s="21" t="n"/>
      <c r="D16" s="21" t="n"/>
      <c r="E16" s="21" t="n"/>
      <c r="F16" s="21" t="n"/>
      <c r="G16" s="21" t="n"/>
      <c r="H16" s="21" t="n"/>
      <c r="I16" s="22" t="inlineStr">
        <is>
          <t>Not checked</t>
        </is>
      </c>
      <c r="J16" s="22" t="inlineStr">
        <is>
          <t>Not checked</t>
        </is>
      </c>
      <c r="K16" s="22" t="inlineStr">
        <is>
          <t>Not checked</t>
        </is>
      </c>
      <c r="L16" s="22" t="inlineStr">
        <is>
          <t>Not checked</t>
        </is>
      </c>
      <c r="M16" s="22" t="inlineStr">
        <is>
          <t>Not checked</t>
        </is>
      </c>
      <c r="N16" s="22" t="inlineStr">
        <is>
          <t>Not checked</t>
        </is>
      </c>
      <c r="O16" s="19">
        <f>IF(C16="","",COUNTIF(I16:N16,"Yes"))</f>
        <v/>
      </c>
      <c r="P16" s="22" t="n"/>
      <c r="Q16" s="22" t="n"/>
    </row>
    <row r="17">
      <c r="A17" s="19" t="inlineStr">
        <is>
          <t>SO01</t>
        </is>
      </c>
      <c r="B17" s="20" t="inlineStr">
        <is>
          <t>Social</t>
        </is>
      </c>
      <c r="C17" s="21" t="n"/>
      <c r="D17" s="21" t="n"/>
      <c r="E17" s="21" t="n"/>
      <c r="F17" s="21" t="n"/>
      <c r="G17" s="21" t="n"/>
      <c r="H17" s="21" t="n"/>
      <c r="I17" s="22" t="inlineStr">
        <is>
          <t>Not checked</t>
        </is>
      </c>
      <c r="J17" s="22" t="inlineStr">
        <is>
          <t>Not checked</t>
        </is>
      </c>
      <c r="K17" s="22" t="inlineStr">
        <is>
          <t>Not checked</t>
        </is>
      </c>
      <c r="L17" s="22" t="inlineStr">
        <is>
          <t>Not checked</t>
        </is>
      </c>
      <c r="M17" s="22" t="inlineStr">
        <is>
          <t>Not checked</t>
        </is>
      </c>
      <c r="N17" s="22" t="inlineStr">
        <is>
          <t>Not checked</t>
        </is>
      </c>
      <c r="O17" s="19">
        <f>IF(C17="","",COUNTIF(I17:N17,"Yes"))</f>
        <v/>
      </c>
      <c r="P17" s="22" t="n"/>
      <c r="Q17" s="22" t="n"/>
    </row>
    <row r="18">
      <c r="A18" s="19" t="inlineStr">
        <is>
          <t>SO02</t>
        </is>
      </c>
      <c r="B18" s="20" t="inlineStr">
        <is>
          <t>Social</t>
        </is>
      </c>
      <c r="C18" s="21" t="n"/>
      <c r="D18" s="21" t="n"/>
      <c r="E18" s="21" t="n"/>
      <c r="F18" s="21" t="n"/>
      <c r="G18" s="21" t="n"/>
      <c r="H18" s="21" t="n"/>
      <c r="I18" s="22" t="inlineStr">
        <is>
          <t>Not checked</t>
        </is>
      </c>
      <c r="J18" s="22" t="inlineStr">
        <is>
          <t>Not checked</t>
        </is>
      </c>
      <c r="K18" s="22" t="inlineStr">
        <is>
          <t>Not checked</t>
        </is>
      </c>
      <c r="L18" s="22" t="inlineStr">
        <is>
          <t>Not checked</t>
        </is>
      </c>
      <c r="M18" s="22" t="inlineStr">
        <is>
          <t>Not checked</t>
        </is>
      </c>
      <c r="N18" s="22" t="inlineStr">
        <is>
          <t>Not checked</t>
        </is>
      </c>
      <c r="O18" s="19">
        <f>IF(C18="","",COUNTIF(I18:N18,"Yes"))</f>
        <v/>
      </c>
      <c r="P18" s="22" t="n"/>
      <c r="Q18" s="22" t="n"/>
    </row>
    <row r="19">
      <c r="A19" s="19" t="inlineStr">
        <is>
          <t>SO03</t>
        </is>
      </c>
      <c r="B19" s="20" t="inlineStr">
        <is>
          <t>Social</t>
        </is>
      </c>
      <c r="C19" s="21" t="n"/>
      <c r="D19" s="21" t="n"/>
      <c r="E19" s="21" t="n"/>
      <c r="F19" s="21" t="n"/>
      <c r="G19" s="21" t="n"/>
      <c r="H19" s="21" t="n"/>
      <c r="I19" s="22" t="inlineStr">
        <is>
          <t>Not checked</t>
        </is>
      </c>
      <c r="J19" s="22" t="inlineStr">
        <is>
          <t>Not checked</t>
        </is>
      </c>
      <c r="K19" s="22" t="inlineStr">
        <is>
          <t>Not checked</t>
        </is>
      </c>
      <c r="L19" s="22" t="inlineStr">
        <is>
          <t>Not checked</t>
        </is>
      </c>
      <c r="M19" s="22" t="inlineStr">
        <is>
          <t>Not checked</t>
        </is>
      </c>
      <c r="N19" s="22" t="inlineStr">
        <is>
          <t>Not checked</t>
        </is>
      </c>
      <c r="O19" s="19">
        <f>IF(C19="","",COUNTIF(I19:N19,"Yes"))</f>
        <v/>
      </c>
      <c r="P19" s="22" t="n"/>
      <c r="Q19" s="22" t="n"/>
    </row>
    <row r="20">
      <c r="A20" s="19" t="inlineStr">
        <is>
          <t>SO04</t>
        </is>
      </c>
      <c r="B20" s="20" t="inlineStr">
        <is>
          <t>Social</t>
        </is>
      </c>
      <c r="C20" s="21" t="n"/>
      <c r="D20" s="21" t="n"/>
      <c r="E20" s="21" t="n"/>
      <c r="F20" s="21" t="n"/>
      <c r="G20" s="21" t="n"/>
      <c r="H20" s="21" t="n"/>
      <c r="I20" s="22" t="inlineStr">
        <is>
          <t>Not checked</t>
        </is>
      </c>
      <c r="J20" s="22" t="inlineStr">
        <is>
          <t>Not checked</t>
        </is>
      </c>
      <c r="K20" s="22" t="inlineStr">
        <is>
          <t>Not checked</t>
        </is>
      </c>
      <c r="L20" s="22" t="inlineStr">
        <is>
          <t>Not checked</t>
        </is>
      </c>
      <c r="M20" s="22" t="inlineStr">
        <is>
          <t>Not checked</t>
        </is>
      </c>
      <c r="N20" s="22" t="inlineStr">
        <is>
          <t>Not checked</t>
        </is>
      </c>
      <c r="O20" s="19">
        <f>IF(C20="","",COUNTIF(I20:N20,"Yes"))</f>
        <v/>
      </c>
      <c r="P20" s="22" t="n"/>
      <c r="Q20" s="22" t="n"/>
    </row>
    <row r="21">
      <c r="A21" s="19" t="inlineStr">
        <is>
          <t>SO05</t>
        </is>
      </c>
      <c r="B21" s="20" t="inlineStr">
        <is>
          <t>Social</t>
        </is>
      </c>
      <c r="C21" s="21" t="n"/>
      <c r="D21" s="21" t="n"/>
      <c r="E21" s="21" t="n"/>
      <c r="F21" s="21" t="n"/>
      <c r="G21" s="21" t="n"/>
      <c r="H21" s="21" t="n"/>
      <c r="I21" s="22" t="inlineStr">
        <is>
          <t>Not checked</t>
        </is>
      </c>
      <c r="J21" s="22" t="inlineStr">
        <is>
          <t>Not checked</t>
        </is>
      </c>
      <c r="K21" s="22" t="inlineStr">
        <is>
          <t>Not checked</t>
        </is>
      </c>
      <c r="L21" s="22" t="inlineStr">
        <is>
          <t>Not checked</t>
        </is>
      </c>
      <c r="M21" s="22" t="inlineStr">
        <is>
          <t>Not checked</t>
        </is>
      </c>
      <c r="N21" s="22" t="inlineStr">
        <is>
          <t>Not checked</t>
        </is>
      </c>
      <c r="O21" s="19">
        <f>IF(C21="","",COUNTIF(I21:N21,"Yes"))</f>
        <v/>
      </c>
      <c r="P21" s="22" t="n"/>
      <c r="Q21" s="22" t="n"/>
    </row>
    <row r="22">
      <c r="A22" s="19" t="inlineStr">
        <is>
          <t>SO06</t>
        </is>
      </c>
      <c r="B22" s="20" t="inlineStr">
        <is>
          <t>Social</t>
        </is>
      </c>
      <c r="C22" s="21" t="n"/>
      <c r="D22" s="21" t="n"/>
      <c r="E22" s="21" t="n"/>
      <c r="F22" s="21" t="n"/>
      <c r="G22" s="21" t="n"/>
      <c r="H22" s="21" t="n"/>
      <c r="I22" s="22" t="inlineStr">
        <is>
          <t>Not checked</t>
        </is>
      </c>
      <c r="J22" s="22" t="inlineStr">
        <is>
          <t>Not checked</t>
        </is>
      </c>
      <c r="K22" s="22" t="inlineStr">
        <is>
          <t>Not checked</t>
        </is>
      </c>
      <c r="L22" s="22" t="inlineStr">
        <is>
          <t>Not checked</t>
        </is>
      </c>
      <c r="M22" s="22" t="inlineStr">
        <is>
          <t>Not checked</t>
        </is>
      </c>
      <c r="N22" s="22" t="inlineStr">
        <is>
          <t>Not checked</t>
        </is>
      </c>
      <c r="O22" s="19">
        <f>IF(C22="","",COUNTIF(I22:N22,"Yes"))</f>
        <v/>
      </c>
      <c r="P22" s="22" t="n"/>
      <c r="Q22" s="22" t="n"/>
    </row>
    <row r="23">
      <c r="A23" s="19" t="inlineStr">
        <is>
          <t>SO07</t>
        </is>
      </c>
      <c r="B23" s="20" t="inlineStr">
        <is>
          <t>Social</t>
        </is>
      </c>
      <c r="C23" s="21" t="n"/>
      <c r="D23" s="21" t="n"/>
      <c r="E23" s="21" t="n"/>
      <c r="F23" s="21" t="n"/>
      <c r="G23" s="21" t="n"/>
      <c r="H23" s="21" t="n"/>
      <c r="I23" s="22" t="inlineStr">
        <is>
          <t>Not checked</t>
        </is>
      </c>
      <c r="J23" s="22" t="inlineStr">
        <is>
          <t>Not checked</t>
        </is>
      </c>
      <c r="K23" s="22" t="inlineStr">
        <is>
          <t>Not checked</t>
        </is>
      </c>
      <c r="L23" s="22" t="inlineStr">
        <is>
          <t>Not checked</t>
        </is>
      </c>
      <c r="M23" s="22" t="inlineStr">
        <is>
          <t>Not checked</t>
        </is>
      </c>
      <c r="N23" s="22" t="inlineStr">
        <is>
          <t>Not checked</t>
        </is>
      </c>
      <c r="O23" s="19">
        <f>IF(C23="","",COUNTIF(I23:N23,"Yes"))</f>
        <v/>
      </c>
      <c r="P23" s="22" t="n"/>
      <c r="Q23" s="22" t="n"/>
    </row>
    <row r="24">
      <c r="A24" s="19" t="inlineStr">
        <is>
          <t>SO08</t>
        </is>
      </c>
      <c r="B24" s="20" t="inlineStr">
        <is>
          <t>Social</t>
        </is>
      </c>
      <c r="C24" s="21" t="n"/>
      <c r="D24" s="21" t="n"/>
      <c r="E24" s="21" t="n"/>
      <c r="F24" s="21" t="n"/>
      <c r="G24" s="21" t="n"/>
      <c r="H24" s="21" t="n"/>
      <c r="I24" s="22" t="inlineStr">
        <is>
          <t>Not checked</t>
        </is>
      </c>
      <c r="J24" s="22" t="inlineStr">
        <is>
          <t>Not checked</t>
        </is>
      </c>
      <c r="K24" s="22" t="inlineStr">
        <is>
          <t>Not checked</t>
        </is>
      </c>
      <c r="L24" s="22" t="inlineStr">
        <is>
          <t>Not checked</t>
        </is>
      </c>
      <c r="M24" s="22" t="inlineStr">
        <is>
          <t>Not checked</t>
        </is>
      </c>
      <c r="N24" s="22" t="inlineStr">
        <is>
          <t>Not checked</t>
        </is>
      </c>
      <c r="O24" s="19">
        <f>IF(C24="","",COUNTIF(I24:N24,"Yes"))</f>
        <v/>
      </c>
      <c r="P24" s="22" t="n"/>
      <c r="Q24" s="22" t="n"/>
    </row>
    <row r="25">
      <c r="A25" s="19" t="inlineStr">
        <is>
          <t>SO09</t>
        </is>
      </c>
      <c r="B25" s="20" t="inlineStr">
        <is>
          <t>Social</t>
        </is>
      </c>
      <c r="C25" s="21" t="n"/>
      <c r="D25" s="21" t="n"/>
      <c r="E25" s="21" t="n"/>
      <c r="F25" s="21" t="n"/>
      <c r="G25" s="21" t="n"/>
      <c r="H25" s="21" t="n"/>
      <c r="I25" s="22" t="inlineStr">
        <is>
          <t>Not checked</t>
        </is>
      </c>
      <c r="J25" s="22" t="inlineStr">
        <is>
          <t>Not checked</t>
        </is>
      </c>
      <c r="K25" s="22" t="inlineStr">
        <is>
          <t>Not checked</t>
        </is>
      </c>
      <c r="L25" s="22" t="inlineStr">
        <is>
          <t>Not checked</t>
        </is>
      </c>
      <c r="M25" s="22" t="inlineStr">
        <is>
          <t>Not checked</t>
        </is>
      </c>
      <c r="N25" s="22" t="inlineStr">
        <is>
          <t>Not checked</t>
        </is>
      </c>
      <c r="O25" s="19">
        <f>IF(C25="","",COUNTIF(I25:N25,"Yes"))</f>
        <v/>
      </c>
      <c r="P25" s="22" t="n"/>
      <c r="Q25" s="22" t="n"/>
    </row>
    <row r="26">
      <c r="A26" s="19" t="inlineStr">
        <is>
          <t>SO10</t>
        </is>
      </c>
      <c r="B26" s="20" t="inlineStr">
        <is>
          <t>Social</t>
        </is>
      </c>
      <c r="C26" s="21" t="n"/>
      <c r="D26" s="21" t="n"/>
      <c r="E26" s="21" t="n"/>
      <c r="F26" s="21" t="n"/>
      <c r="G26" s="21" t="n"/>
      <c r="H26" s="21" t="n"/>
      <c r="I26" s="22" t="inlineStr">
        <is>
          <t>Not checked</t>
        </is>
      </c>
      <c r="J26" s="22" t="inlineStr">
        <is>
          <t>Not checked</t>
        </is>
      </c>
      <c r="K26" s="22" t="inlineStr">
        <is>
          <t>Not checked</t>
        </is>
      </c>
      <c r="L26" s="22" t="inlineStr">
        <is>
          <t>Not checked</t>
        </is>
      </c>
      <c r="M26" s="22" t="inlineStr">
        <is>
          <t>Not checked</t>
        </is>
      </c>
      <c r="N26" s="22" t="inlineStr">
        <is>
          <t>Not checked</t>
        </is>
      </c>
      <c r="O26" s="19">
        <f>IF(C26="","",COUNTIF(I26:N26,"Yes"))</f>
        <v/>
      </c>
      <c r="P26" s="22" t="n"/>
      <c r="Q26" s="22" t="n"/>
    </row>
    <row r="27">
      <c r="A27" s="19" t="inlineStr">
        <is>
          <t>TE01</t>
        </is>
      </c>
      <c r="B27" s="20" t="inlineStr">
        <is>
          <t>Technological</t>
        </is>
      </c>
      <c r="C27" s="21" t="n"/>
      <c r="D27" s="21" t="n"/>
      <c r="E27" s="21" t="n"/>
      <c r="F27" s="21" t="n"/>
      <c r="G27" s="21" t="n"/>
      <c r="H27" s="21" t="n"/>
      <c r="I27" s="22" t="inlineStr">
        <is>
          <t>Not checked</t>
        </is>
      </c>
      <c r="J27" s="22" t="inlineStr">
        <is>
          <t>Not checked</t>
        </is>
      </c>
      <c r="K27" s="22" t="inlineStr">
        <is>
          <t>Not checked</t>
        </is>
      </c>
      <c r="L27" s="22" t="inlineStr">
        <is>
          <t>Not checked</t>
        </is>
      </c>
      <c r="M27" s="22" t="inlineStr">
        <is>
          <t>Not checked</t>
        </is>
      </c>
      <c r="N27" s="22" t="inlineStr">
        <is>
          <t>Not checked</t>
        </is>
      </c>
      <c r="O27" s="19">
        <f>IF(C27="","",COUNTIF(I27:N27,"Yes"))</f>
        <v/>
      </c>
      <c r="P27" s="22" t="n"/>
      <c r="Q27" s="22" t="n"/>
    </row>
    <row r="28">
      <c r="A28" s="19" t="inlineStr">
        <is>
          <t>TE02</t>
        </is>
      </c>
      <c r="B28" s="20" t="inlineStr">
        <is>
          <t>Technological</t>
        </is>
      </c>
      <c r="C28" s="21" t="n"/>
      <c r="D28" s="21" t="n"/>
      <c r="E28" s="21" t="n"/>
      <c r="F28" s="21" t="n"/>
      <c r="G28" s="21" t="n"/>
      <c r="H28" s="21" t="n"/>
      <c r="I28" s="22" t="inlineStr">
        <is>
          <t>Not checked</t>
        </is>
      </c>
      <c r="J28" s="22" t="inlineStr">
        <is>
          <t>Not checked</t>
        </is>
      </c>
      <c r="K28" s="22" t="inlineStr">
        <is>
          <t>Not checked</t>
        </is>
      </c>
      <c r="L28" s="22" t="inlineStr">
        <is>
          <t>Not checked</t>
        </is>
      </c>
      <c r="M28" s="22" t="inlineStr">
        <is>
          <t>Not checked</t>
        </is>
      </c>
      <c r="N28" s="22" t="inlineStr">
        <is>
          <t>Not checked</t>
        </is>
      </c>
      <c r="O28" s="19">
        <f>IF(C28="","",COUNTIF(I28:N28,"Yes"))</f>
        <v/>
      </c>
      <c r="P28" s="22" t="n"/>
      <c r="Q28" s="22" t="n"/>
    </row>
    <row r="29">
      <c r="A29" s="19" t="inlineStr">
        <is>
          <t>TE03</t>
        </is>
      </c>
      <c r="B29" s="20" t="inlineStr">
        <is>
          <t>Technological</t>
        </is>
      </c>
      <c r="C29" s="21" t="n"/>
      <c r="D29" s="21" t="n"/>
      <c r="E29" s="21" t="n"/>
      <c r="F29" s="21" t="n"/>
      <c r="G29" s="21" t="n"/>
      <c r="H29" s="21" t="n"/>
      <c r="I29" s="22" t="inlineStr">
        <is>
          <t>Not checked</t>
        </is>
      </c>
      <c r="J29" s="22" t="inlineStr">
        <is>
          <t>Not checked</t>
        </is>
      </c>
      <c r="K29" s="22" t="inlineStr">
        <is>
          <t>Not checked</t>
        </is>
      </c>
      <c r="L29" s="22" t="inlineStr">
        <is>
          <t>Not checked</t>
        </is>
      </c>
      <c r="M29" s="22" t="inlineStr">
        <is>
          <t>Not checked</t>
        </is>
      </c>
      <c r="N29" s="22" t="inlineStr">
        <is>
          <t>Not checked</t>
        </is>
      </c>
      <c r="O29" s="19">
        <f>IF(C29="","",COUNTIF(I29:N29,"Yes"))</f>
        <v/>
      </c>
      <c r="P29" s="22" t="n"/>
      <c r="Q29" s="22" t="n"/>
    </row>
    <row r="30">
      <c r="A30" s="19" t="inlineStr">
        <is>
          <t>TE04</t>
        </is>
      </c>
      <c r="B30" s="20" t="inlineStr">
        <is>
          <t>Technological</t>
        </is>
      </c>
      <c r="C30" s="21" t="n"/>
      <c r="D30" s="21" t="n"/>
      <c r="E30" s="21" t="n"/>
      <c r="F30" s="21" t="n"/>
      <c r="G30" s="21" t="n"/>
      <c r="H30" s="21" t="n"/>
      <c r="I30" s="22" t="inlineStr">
        <is>
          <t>Not checked</t>
        </is>
      </c>
      <c r="J30" s="22" t="inlineStr">
        <is>
          <t>Not checked</t>
        </is>
      </c>
      <c r="K30" s="22" t="inlineStr">
        <is>
          <t>Not checked</t>
        </is>
      </c>
      <c r="L30" s="22" t="inlineStr">
        <is>
          <t>Not checked</t>
        </is>
      </c>
      <c r="M30" s="22" t="inlineStr">
        <is>
          <t>Not checked</t>
        </is>
      </c>
      <c r="N30" s="22" t="inlineStr">
        <is>
          <t>Not checked</t>
        </is>
      </c>
      <c r="O30" s="19">
        <f>IF(C30="","",COUNTIF(I30:N30,"Yes"))</f>
        <v/>
      </c>
      <c r="P30" s="22" t="n"/>
      <c r="Q30" s="22" t="n"/>
    </row>
    <row r="31">
      <c r="A31" s="19" t="inlineStr">
        <is>
          <t>TE05</t>
        </is>
      </c>
      <c r="B31" s="20" t="inlineStr">
        <is>
          <t>Technological</t>
        </is>
      </c>
      <c r="C31" s="21" t="n"/>
      <c r="D31" s="21" t="n"/>
      <c r="E31" s="21" t="n"/>
      <c r="F31" s="21" t="n"/>
      <c r="G31" s="21" t="n"/>
      <c r="H31" s="21" t="n"/>
      <c r="I31" s="22" t="inlineStr">
        <is>
          <t>Not checked</t>
        </is>
      </c>
      <c r="J31" s="22" t="inlineStr">
        <is>
          <t>Not checked</t>
        </is>
      </c>
      <c r="K31" s="22" t="inlineStr">
        <is>
          <t>Not checked</t>
        </is>
      </c>
      <c r="L31" s="22" t="inlineStr">
        <is>
          <t>Not checked</t>
        </is>
      </c>
      <c r="M31" s="22" t="inlineStr">
        <is>
          <t>Not checked</t>
        </is>
      </c>
      <c r="N31" s="22" t="inlineStr">
        <is>
          <t>Not checked</t>
        </is>
      </c>
      <c r="O31" s="19">
        <f>IF(C31="","",COUNTIF(I31:N31,"Yes"))</f>
        <v/>
      </c>
      <c r="P31" s="22" t="n"/>
      <c r="Q31" s="22" t="n"/>
    </row>
    <row r="32">
      <c r="A32" s="19" t="inlineStr">
        <is>
          <t>TE06</t>
        </is>
      </c>
      <c r="B32" s="20" t="inlineStr">
        <is>
          <t>Technological</t>
        </is>
      </c>
      <c r="C32" s="21" t="n"/>
      <c r="D32" s="21" t="n"/>
      <c r="E32" s="21" t="n"/>
      <c r="F32" s="21" t="n"/>
      <c r="G32" s="21" t="n"/>
      <c r="H32" s="21" t="n"/>
      <c r="I32" s="22" t="inlineStr">
        <is>
          <t>Not checked</t>
        </is>
      </c>
      <c r="J32" s="22" t="inlineStr">
        <is>
          <t>Not checked</t>
        </is>
      </c>
      <c r="K32" s="22" t="inlineStr">
        <is>
          <t>Not checked</t>
        </is>
      </c>
      <c r="L32" s="22" t="inlineStr">
        <is>
          <t>Not checked</t>
        </is>
      </c>
      <c r="M32" s="22" t="inlineStr">
        <is>
          <t>Not checked</t>
        </is>
      </c>
      <c r="N32" s="22" t="inlineStr">
        <is>
          <t>Not checked</t>
        </is>
      </c>
      <c r="O32" s="19">
        <f>IF(C32="","",COUNTIF(I32:N32,"Yes"))</f>
        <v/>
      </c>
      <c r="P32" s="22" t="n"/>
      <c r="Q32" s="22" t="n"/>
    </row>
    <row r="33">
      <c r="A33" s="19" t="inlineStr">
        <is>
          <t>TE07</t>
        </is>
      </c>
      <c r="B33" s="20" t="inlineStr">
        <is>
          <t>Technological</t>
        </is>
      </c>
      <c r="C33" s="21" t="n"/>
      <c r="D33" s="21" t="n"/>
      <c r="E33" s="21" t="n"/>
      <c r="F33" s="21" t="n"/>
      <c r="G33" s="21" t="n"/>
      <c r="H33" s="21" t="n"/>
      <c r="I33" s="22" t="inlineStr">
        <is>
          <t>Not checked</t>
        </is>
      </c>
      <c r="J33" s="22" t="inlineStr">
        <is>
          <t>Not checked</t>
        </is>
      </c>
      <c r="K33" s="22" t="inlineStr">
        <is>
          <t>Not checked</t>
        </is>
      </c>
      <c r="L33" s="22" t="inlineStr">
        <is>
          <t>Not checked</t>
        </is>
      </c>
      <c r="M33" s="22" t="inlineStr">
        <is>
          <t>Not checked</t>
        </is>
      </c>
      <c r="N33" s="22" t="inlineStr">
        <is>
          <t>Not checked</t>
        </is>
      </c>
      <c r="O33" s="19">
        <f>IF(C33="","",COUNTIF(I33:N33,"Yes"))</f>
        <v/>
      </c>
      <c r="P33" s="22" t="n"/>
      <c r="Q33" s="22" t="n"/>
    </row>
    <row r="34">
      <c r="A34" s="19" t="inlineStr">
        <is>
          <t>TE08</t>
        </is>
      </c>
      <c r="B34" s="20" t="inlineStr">
        <is>
          <t>Technological</t>
        </is>
      </c>
      <c r="C34" s="21" t="n"/>
      <c r="D34" s="21" t="n"/>
      <c r="E34" s="21" t="n"/>
      <c r="F34" s="21" t="n"/>
      <c r="G34" s="21" t="n"/>
      <c r="H34" s="21" t="n"/>
      <c r="I34" s="22" t="inlineStr">
        <is>
          <t>Not checked</t>
        </is>
      </c>
      <c r="J34" s="22" t="inlineStr">
        <is>
          <t>Not checked</t>
        </is>
      </c>
      <c r="K34" s="22" t="inlineStr">
        <is>
          <t>Not checked</t>
        </is>
      </c>
      <c r="L34" s="22" t="inlineStr">
        <is>
          <t>Not checked</t>
        </is>
      </c>
      <c r="M34" s="22" t="inlineStr">
        <is>
          <t>Not checked</t>
        </is>
      </c>
      <c r="N34" s="22" t="inlineStr">
        <is>
          <t>Not checked</t>
        </is>
      </c>
      <c r="O34" s="19">
        <f>IF(C34="","",COUNTIF(I34:N34,"Yes"))</f>
        <v/>
      </c>
      <c r="P34" s="22" t="n"/>
      <c r="Q34" s="22" t="n"/>
    </row>
    <row r="35">
      <c r="A35" s="19" t="inlineStr">
        <is>
          <t>TE09</t>
        </is>
      </c>
      <c r="B35" s="20" t="inlineStr">
        <is>
          <t>Technological</t>
        </is>
      </c>
      <c r="C35" s="21" t="n"/>
      <c r="D35" s="21" t="n"/>
      <c r="E35" s="21" t="n"/>
      <c r="F35" s="21" t="n"/>
      <c r="G35" s="21" t="n"/>
      <c r="H35" s="21" t="n"/>
      <c r="I35" s="22" t="inlineStr">
        <is>
          <t>Not checked</t>
        </is>
      </c>
      <c r="J35" s="22" t="inlineStr">
        <is>
          <t>Not checked</t>
        </is>
      </c>
      <c r="K35" s="22" t="inlineStr">
        <is>
          <t>Not checked</t>
        </is>
      </c>
      <c r="L35" s="22" t="inlineStr">
        <is>
          <t>Not checked</t>
        </is>
      </c>
      <c r="M35" s="22" t="inlineStr">
        <is>
          <t>Not checked</t>
        </is>
      </c>
      <c r="N35" s="22" t="inlineStr">
        <is>
          <t>Not checked</t>
        </is>
      </c>
      <c r="O35" s="19">
        <f>IF(C35="","",COUNTIF(I35:N35,"Yes"))</f>
        <v/>
      </c>
      <c r="P35" s="22" t="n"/>
      <c r="Q35" s="22" t="n"/>
    </row>
    <row r="36">
      <c r="A36" s="19" t="inlineStr">
        <is>
          <t>TE10</t>
        </is>
      </c>
      <c r="B36" s="20" t="inlineStr">
        <is>
          <t>Technological</t>
        </is>
      </c>
      <c r="C36" s="21" t="n"/>
      <c r="D36" s="21" t="n"/>
      <c r="E36" s="21" t="n"/>
      <c r="F36" s="21" t="n"/>
      <c r="G36" s="21" t="n"/>
      <c r="H36" s="21" t="n"/>
      <c r="I36" s="22" t="inlineStr">
        <is>
          <t>Not checked</t>
        </is>
      </c>
      <c r="J36" s="22" t="inlineStr">
        <is>
          <t>Not checked</t>
        </is>
      </c>
      <c r="K36" s="22" t="inlineStr">
        <is>
          <t>Not checked</t>
        </is>
      </c>
      <c r="L36" s="22" t="inlineStr">
        <is>
          <t>Not checked</t>
        </is>
      </c>
      <c r="M36" s="22" t="inlineStr">
        <is>
          <t>Not checked</t>
        </is>
      </c>
      <c r="N36" s="22" t="inlineStr">
        <is>
          <t>Not checked</t>
        </is>
      </c>
      <c r="O36" s="19">
        <f>IF(C36="","",COUNTIF(I36:N36,"Yes"))</f>
        <v/>
      </c>
      <c r="P36" s="22" t="n"/>
      <c r="Q36" s="22" t="n"/>
    </row>
    <row r="37">
      <c r="A37" s="19" t="inlineStr">
        <is>
          <t>EN01</t>
        </is>
      </c>
      <c r="B37" s="20" t="inlineStr">
        <is>
          <t>Environmental</t>
        </is>
      </c>
      <c r="C37" s="21" t="n"/>
      <c r="D37" s="21" t="n"/>
      <c r="E37" s="21" t="n"/>
      <c r="F37" s="21" t="n"/>
      <c r="G37" s="21" t="n"/>
      <c r="H37" s="21" t="n"/>
      <c r="I37" s="22" t="inlineStr">
        <is>
          <t>Not checked</t>
        </is>
      </c>
      <c r="J37" s="22" t="inlineStr">
        <is>
          <t>Not checked</t>
        </is>
      </c>
      <c r="K37" s="22" t="inlineStr">
        <is>
          <t>Not checked</t>
        </is>
      </c>
      <c r="L37" s="22" t="inlineStr">
        <is>
          <t>Not checked</t>
        </is>
      </c>
      <c r="M37" s="22" t="inlineStr">
        <is>
          <t>Not checked</t>
        </is>
      </c>
      <c r="N37" s="22" t="inlineStr">
        <is>
          <t>Not checked</t>
        </is>
      </c>
      <c r="O37" s="19">
        <f>IF(C37="","",COUNTIF(I37:N37,"Yes"))</f>
        <v/>
      </c>
      <c r="P37" s="22" t="n"/>
      <c r="Q37" s="22" t="n"/>
    </row>
    <row r="38">
      <c r="A38" s="19" t="inlineStr">
        <is>
          <t>EN02</t>
        </is>
      </c>
      <c r="B38" s="20" t="inlineStr">
        <is>
          <t>Environmental</t>
        </is>
      </c>
      <c r="C38" s="21" t="n"/>
      <c r="D38" s="21" t="n"/>
      <c r="E38" s="21" t="n"/>
      <c r="F38" s="21" t="n"/>
      <c r="G38" s="21" t="n"/>
      <c r="H38" s="21" t="n"/>
      <c r="I38" s="22" t="inlineStr">
        <is>
          <t>Not checked</t>
        </is>
      </c>
      <c r="J38" s="22" t="inlineStr">
        <is>
          <t>Not checked</t>
        </is>
      </c>
      <c r="K38" s="22" t="inlineStr">
        <is>
          <t>Not checked</t>
        </is>
      </c>
      <c r="L38" s="22" t="inlineStr">
        <is>
          <t>Not checked</t>
        </is>
      </c>
      <c r="M38" s="22" t="inlineStr">
        <is>
          <t>Not checked</t>
        </is>
      </c>
      <c r="N38" s="22" t="inlineStr">
        <is>
          <t>Not checked</t>
        </is>
      </c>
      <c r="O38" s="19">
        <f>IF(C38="","",COUNTIF(I38:N38,"Yes"))</f>
        <v/>
      </c>
      <c r="P38" s="22" t="n"/>
      <c r="Q38" s="22" t="n"/>
    </row>
    <row r="39">
      <c r="A39" s="19" t="inlineStr">
        <is>
          <t>EN03</t>
        </is>
      </c>
      <c r="B39" s="20" t="inlineStr">
        <is>
          <t>Environmental</t>
        </is>
      </c>
      <c r="C39" s="21" t="n"/>
      <c r="D39" s="21" t="n"/>
      <c r="E39" s="21" t="n"/>
      <c r="F39" s="21" t="n"/>
      <c r="G39" s="21" t="n"/>
      <c r="H39" s="21" t="n"/>
      <c r="I39" s="22" t="inlineStr">
        <is>
          <t>Not checked</t>
        </is>
      </c>
      <c r="J39" s="22" t="inlineStr">
        <is>
          <t>Not checked</t>
        </is>
      </c>
      <c r="K39" s="22" t="inlineStr">
        <is>
          <t>Not checked</t>
        </is>
      </c>
      <c r="L39" s="22" t="inlineStr">
        <is>
          <t>Not checked</t>
        </is>
      </c>
      <c r="M39" s="22" t="inlineStr">
        <is>
          <t>Not checked</t>
        </is>
      </c>
      <c r="N39" s="22" t="inlineStr">
        <is>
          <t>Not checked</t>
        </is>
      </c>
      <c r="O39" s="19">
        <f>IF(C39="","",COUNTIF(I39:N39,"Yes"))</f>
        <v/>
      </c>
      <c r="P39" s="22" t="n"/>
      <c r="Q39" s="22" t="n"/>
    </row>
    <row r="40">
      <c r="A40" s="19" t="inlineStr">
        <is>
          <t>EN04</t>
        </is>
      </c>
      <c r="B40" s="20" t="inlineStr">
        <is>
          <t>Environmental</t>
        </is>
      </c>
      <c r="C40" s="21" t="n"/>
      <c r="D40" s="21" t="n"/>
      <c r="E40" s="21" t="n"/>
      <c r="F40" s="21" t="n"/>
      <c r="G40" s="21" t="n"/>
      <c r="H40" s="21" t="n"/>
      <c r="I40" s="22" t="inlineStr">
        <is>
          <t>Not checked</t>
        </is>
      </c>
      <c r="J40" s="22" t="inlineStr">
        <is>
          <t>Not checked</t>
        </is>
      </c>
      <c r="K40" s="22" t="inlineStr">
        <is>
          <t>Not checked</t>
        </is>
      </c>
      <c r="L40" s="22" t="inlineStr">
        <is>
          <t>Not checked</t>
        </is>
      </c>
      <c r="M40" s="22" t="inlineStr">
        <is>
          <t>Not checked</t>
        </is>
      </c>
      <c r="N40" s="22" t="inlineStr">
        <is>
          <t>Not checked</t>
        </is>
      </c>
      <c r="O40" s="19">
        <f>IF(C40="","",COUNTIF(I40:N40,"Yes"))</f>
        <v/>
      </c>
      <c r="P40" s="22" t="n"/>
      <c r="Q40" s="22" t="n"/>
    </row>
    <row r="41">
      <c r="A41" s="19" t="inlineStr">
        <is>
          <t>EN05</t>
        </is>
      </c>
      <c r="B41" s="20" t="inlineStr">
        <is>
          <t>Environmental</t>
        </is>
      </c>
      <c r="C41" s="21" t="n"/>
      <c r="D41" s="21" t="n"/>
      <c r="E41" s="21" t="n"/>
      <c r="F41" s="21" t="n"/>
      <c r="G41" s="21" t="n"/>
      <c r="H41" s="21" t="n"/>
      <c r="I41" s="22" t="inlineStr">
        <is>
          <t>Not checked</t>
        </is>
      </c>
      <c r="J41" s="22" t="inlineStr">
        <is>
          <t>Not checked</t>
        </is>
      </c>
      <c r="K41" s="22" t="inlineStr">
        <is>
          <t>Not checked</t>
        </is>
      </c>
      <c r="L41" s="22" t="inlineStr">
        <is>
          <t>Not checked</t>
        </is>
      </c>
      <c r="M41" s="22" t="inlineStr">
        <is>
          <t>Not checked</t>
        </is>
      </c>
      <c r="N41" s="22" t="inlineStr">
        <is>
          <t>Not checked</t>
        </is>
      </c>
      <c r="O41" s="19">
        <f>IF(C41="","",COUNTIF(I41:N41,"Yes"))</f>
        <v/>
      </c>
      <c r="P41" s="22" t="n"/>
      <c r="Q41" s="22" t="n"/>
    </row>
    <row r="42">
      <c r="A42" s="19" t="inlineStr">
        <is>
          <t>LE01</t>
        </is>
      </c>
      <c r="B42" s="20" t="inlineStr">
        <is>
          <t>Legal</t>
        </is>
      </c>
      <c r="C42" s="21" t="n"/>
      <c r="D42" s="21" t="n"/>
      <c r="E42" s="21" t="n"/>
      <c r="F42" s="21" t="n"/>
      <c r="G42" s="21" t="n"/>
      <c r="H42" s="21" t="n"/>
      <c r="I42" s="22" t="inlineStr">
        <is>
          <t>Not checked</t>
        </is>
      </c>
      <c r="J42" s="22" t="inlineStr">
        <is>
          <t>Not checked</t>
        </is>
      </c>
      <c r="K42" s="22" t="inlineStr">
        <is>
          <t>Not checked</t>
        </is>
      </c>
      <c r="L42" s="22" t="inlineStr">
        <is>
          <t>Not checked</t>
        </is>
      </c>
      <c r="M42" s="22" t="inlineStr">
        <is>
          <t>Not checked</t>
        </is>
      </c>
      <c r="N42" s="22" t="inlineStr">
        <is>
          <t>Not checked</t>
        </is>
      </c>
      <c r="O42" s="19">
        <f>IF(C42="","",COUNTIF(I42:N42,"Yes"))</f>
        <v/>
      </c>
      <c r="P42" s="22" t="n"/>
      <c r="Q42" s="22" t="n"/>
    </row>
    <row r="43">
      <c r="A43" s="19" t="inlineStr">
        <is>
          <t>LE02</t>
        </is>
      </c>
      <c r="B43" s="20" t="inlineStr">
        <is>
          <t>Legal</t>
        </is>
      </c>
      <c r="C43" s="21" t="n"/>
      <c r="D43" s="21" t="n"/>
      <c r="E43" s="21" t="n"/>
      <c r="F43" s="21" t="n"/>
      <c r="G43" s="21" t="n"/>
      <c r="H43" s="21" t="n"/>
      <c r="I43" s="22" t="inlineStr">
        <is>
          <t>Not checked</t>
        </is>
      </c>
      <c r="J43" s="22" t="inlineStr">
        <is>
          <t>Not checked</t>
        </is>
      </c>
      <c r="K43" s="22" t="inlineStr">
        <is>
          <t>Not checked</t>
        </is>
      </c>
      <c r="L43" s="22" t="inlineStr">
        <is>
          <t>Not checked</t>
        </is>
      </c>
      <c r="M43" s="22" t="inlineStr">
        <is>
          <t>Not checked</t>
        </is>
      </c>
      <c r="N43" s="22" t="inlineStr">
        <is>
          <t>Not checked</t>
        </is>
      </c>
      <c r="O43" s="19">
        <f>IF(C43="","",COUNTIF(I43:N43,"Yes"))</f>
        <v/>
      </c>
      <c r="P43" s="22" t="n"/>
      <c r="Q43" s="22" t="n"/>
    </row>
    <row r="44">
      <c r="A44" s="19" t="inlineStr">
        <is>
          <t>LE03</t>
        </is>
      </c>
      <c r="B44" s="20" t="inlineStr">
        <is>
          <t>Legal</t>
        </is>
      </c>
      <c r="C44" s="21" t="n"/>
      <c r="D44" s="21" t="n"/>
      <c r="E44" s="21" t="n"/>
      <c r="F44" s="21" t="n"/>
      <c r="G44" s="21" t="n"/>
      <c r="H44" s="21" t="n"/>
      <c r="I44" s="22" t="inlineStr">
        <is>
          <t>Not checked</t>
        </is>
      </c>
      <c r="J44" s="22" t="inlineStr">
        <is>
          <t>Not checked</t>
        </is>
      </c>
      <c r="K44" s="22" t="inlineStr">
        <is>
          <t>Not checked</t>
        </is>
      </c>
      <c r="L44" s="22" t="inlineStr">
        <is>
          <t>Not checked</t>
        </is>
      </c>
      <c r="M44" s="22" t="inlineStr">
        <is>
          <t>Not checked</t>
        </is>
      </c>
      <c r="N44" s="22" t="inlineStr">
        <is>
          <t>Not checked</t>
        </is>
      </c>
      <c r="O44" s="19">
        <f>IF(C44="","",COUNTIF(I44:N44,"Yes"))</f>
        <v/>
      </c>
      <c r="P44" s="22" t="n"/>
      <c r="Q44" s="22" t="n"/>
    </row>
    <row r="45">
      <c r="A45" s="19" t="inlineStr">
        <is>
          <t>LE04</t>
        </is>
      </c>
      <c r="B45" s="20" t="inlineStr">
        <is>
          <t>Legal</t>
        </is>
      </c>
      <c r="C45" s="21" t="n"/>
      <c r="D45" s="21" t="n"/>
      <c r="E45" s="21" t="n"/>
      <c r="F45" s="21" t="n"/>
      <c r="G45" s="21" t="n"/>
      <c r="H45" s="21" t="n"/>
      <c r="I45" s="22" t="inlineStr">
        <is>
          <t>Not checked</t>
        </is>
      </c>
      <c r="J45" s="22" t="inlineStr">
        <is>
          <t>Not checked</t>
        </is>
      </c>
      <c r="K45" s="22" t="inlineStr">
        <is>
          <t>Not checked</t>
        </is>
      </c>
      <c r="L45" s="22" t="inlineStr">
        <is>
          <t>Not checked</t>
        </is>
      </c>
      <c r="M45" s="22" t="inlineStr">
        <is>
          <t>Not checked</t>
        </is>
      </c>
      <c r="N45" s="22" t="inlineStr">
        <is>
          <t>Not checked</t>
        </is>
      </c>
      <c r="O45" s="19">
        <f>IF(C45="","",COUNTIF(I45:N45,"Yes"))</f>
        <v/>
      </c>
      <c r="P45" s="22" t="n"/>
      <c r="Q45" s="22" t="n"/>
    </row>
    <row r="46">
      <c r="A46" s="19" t="inlineStr">
        <is>
          <t>LE05</t>
        </is>
      </c>
      <c r="B46" s="20" t="inlineStr">
        <is>
          <t>Legal</t>
        </is>
      </c>
      <c r="C46" s="21" t="n"/>
      <c r="D46" s="21" t="n"/>
      <c r="E46" s="21" t="n"/>
      <c r="F46" s="21" t="n"/>
      <c r="G46" s="21" t="n"/>
      <c r="H46" s="21" t="n"/>
      <c r="I46" s="22" t="inlineStr">
        <is>
          <t>Not checked</t>
        </is>
      </c>
      <c r="J46" s="22" t="inlineStr">
        <is>
          <t>Not checked</t>
        </is>
      </c>
      <c r="K46" s="22" t="inlineStr">
        <is>
          <t>Not checked</t>
        </is>
      </c>
      <c r="L46" s="22" t="inlineStr">
        <is>
          <t>Not checked</t>
        </is>
      </c>
      <c r="M46" s="22" t="inlineStr">
        <is>
          <t>Not checked</t>
        </is>
      </c>
      <c r="N46" s="22" t="inlineStr">
        <is>
          <t>Not checked</t>
        </is>
      </c>
      <c r="O46" s="19">
        <f>IF(C46="","",COUNTIF(I46:N46,"Yes"))</f>
        <v/>
      </c>
      <c r="P46" s="22" t="n"/>
      <c r="Q46" s="22" t="n"/>
    </row>
    <row r="47">
      <c r="A47" s="21" t="n"/>
      <c r="B47" s="21" t="n"/>
      <c r="C47" s="21" t="n"/>
      <c r="D47" s="21" t="n"/>
      <c r="E47" s="21" t="n"/>
      <c r="F47" s="21" t="n"/>
      <c r="G47" s="21" t="n"/>
      <c r="H47" s="21" t="n"/>
      <c r="I47" s="21" t="n"/>
      <c r="J47" s="21" t="n"/>
      <c r="K47" s="21" t="n"/>
      <c r="L47" s="21" t="n"/>
      <c r="M47" s="21" t="n"/>
      <c r="N47" s="21" t="n"/>
      <c r="O47" s="20">
        <f>IF(C47="","",COUNTIF(I47:N47,"Yes"))</f>
        <v/>
      </c>
      <c r="P47" s="21" t="n"/>
      <c r="Q47" s="21" t="n"/>
    </row>
    <row r="48">
      <c r="A48" s="21" t="n"/>
      <c r="B48" s="21" t="n"/>
      <c r="C48" s="21" t="n"/>
      <c r="D48" s="21" t="n"/>
      <c r="E48" s="21" t="n"/>
      <c r="F48" s="21" t="n"/>
      <c r="G48" s="21" t="n"/>
      <c r="H48" s="21" t="n"/>
      <c r="I48" s="21" t="n"/>
      <c r="J48" s="21" t="n"/>
      <c r="K48" s="21" t="n"/>
      <c r="L48" s="21" t="n"/>
      <c r="M48" s="21" t="n"/>
      <c r="N48" s="21" t="n"/>
      <c r="O48" s="20">
        <f>IF(C48="","",COUNTIF(I48:N48,"Yes"))</f>
        <v/>
      </c>
      <c r="P48" s="21" t="n"/>
      <c r="Q48" s="21" t="n"/>
    </row>
    <row r="49">
      <c r="A49" s="21" t="n"/>
      <c r="B49" s="21" t="n"/>
      <c r="C49" s="21" t="n"/>
      <c r="D49" s="21" t="n"/>
      <c r="E49" s="21" t="n"/>
      <c r="F49" s="21" t="n"/>
      <c r="G49" s="21" t="n"/>
      <c r="H49" s="21" t="n"/>
      <c r="I49" s="21" t="n"/>
      <c r="J49" s="21" t="n"/>
      <c r="K49" s="21" t="n"/>
      <c r="L49" s="21" t="n"/>
      <c r="M49" s="21" t="n"/>
      <c r="N49" s="21" t="n"/>
      <c r="O49" s="20">
        <f>IF(C49="","",COUNTIF(I49:N49,"Yes"))</f>
        <v/>
      </c>
      <c r="P49" s="21" t="n"/>
      <c r="Q49" s="21" t="n"/>
    </row>
    <row r="50">
      <c r="A50" s="21" t="n"/>
      <c r="B50" s="21" t="n"/>
      <c r="C50" s="21" t="n"/>
      <c r="D50" s="21" t="n"/>
      <c r="E50" s="21" t="n"/>
      <c r="F50" s="21" t="n"/>
      <c r="G50" s="21" t="n"/>
      <c r="H50" s="21" t="n"/>
      <c r="I50" s="21" t="n"/>
      <c r="J50" s="21" t="n"/>
      <c r="K50" s="21" t="n"/>
      <c r="L50" s="21" t="n"/>
      <c r="M50" s="21" t="n"/>
      <c r="N50" s="21" t="n"/>
      <c r="O50" s="20">
        <f>IF(C50="","",COUNTIF(I50:N50,"Yes"))</f>
        <v/>
      </c>
      <c r="P50" s="21" t="n"/>
      <c r="Q50" s="21" t="n"/>
    </row>
    <row r="51">
      <c r="A51" s="21" t="n"/>
      <c r="B51" s="21" t="n"/>
      <c r="C51" s="21" t="n"/>
      <c r="D51" s="21" t="n"/>
      <c r="E51" s="21" t="n"/>
      <c r="F51" s="21" t="n"/>
      <c r="G51" s="21" t="n"/>
      <c r="H51" s="21" t="n"/>
      <c r="I51" s="21" t="n"/>
      <c r="J51" s="21" t="n"/>
      <c r="K51" s="21" t="n"/>
      <c r="L51" s="21" t="n"/>
      <c r="M51" s="21" t="n"/>
      <c r="N51" s="21" t="n"/>
      <c r="O51" s="20">
        <f>IF(C51="","",COUNTIF(I51:N51,"Yes"))</f>
        <v/>
      </c>
      <c r="P51" s="21" t="n"/>
      <c r="Q51" s="21" t="n"/>
    </row>
    <row r="52">
      <c r="A52" s="21" t="n"/>
      <c r="B52" s="21" t="n"/>
      <c r="C52" s="21" t="n"/>
      <c r="D52" s="21" t="n"/>
      <c r="E52" s="21" t="n"/>
      <c r="F52" s="21" t="n"/>
      <c r="G52" s="21" t="n"/>
      <c r="H52" s="21" t="n"/>
      <c r="I52" s="21" t="n"/>
      <c r="J52" s="21" t="n"/>
      <c r="K52" s="21" t="n"/>
      <c r="L52" s="21" t="n"/>
      <c r="M52" s="21" t="n"/>
      <c r="N52" s="21" t="n"/>
      <c r="O52" s="20">
        <f>IF(C52="","",COUNTIF(I52:N52,"Yes"))</f>
        <v/>
      </c>
      <c r="P52" s="21" t="n"/>
      <c r="Q52" s="21" t="n"/>
    </row>
    <row r="53">
      <c r="A53" s="21" t="n"/>
      <c r="B53" s="21" t="n"/>
      <c r="C53" s="21" t="n"/>
      <c r="D53" s="21" t="n"/>
      <c r="E53" s="21" t="n"/>
      <c r="F53" s="21" t="n"/>
      <c r="G53" s="21" t="n"/>
      <c r="H53" s="21" t="n"/>
      <c r="I53" s="21" t="n"/>
      <c r="J53" s="21" t="n"/>
      <c r="K53" s="21" t="n"/>
      <c r="L53" s="21" t="n"/>
      <c r="M53" s="21" t="n"/>
      <c r="N53" s="21" t="n"/>
      <c r="O53" s="20">
        <f>IF(C53="","",COUNTIF(I53:N53,"Yes"))</f>
        <v/>
      </c>
      <c r="P53" s="21" t="n"/>
      <c r="Q53" s="21" t="n"/>
    </row>
    <row r="54">
      <c r="A54" s="21" t="n"/>
      <c r="B54" s="21" t="n"/>
      <c r="C54" s="21" t="n"/>
      <c r="D54" s="21" t="n"/>
      <c r="E54" s="21" t="n"/>
      <c r="F54" s="21" t="n"/>
      <c r="G54" s="21" t="n"/>
      <c r="H54" s="21" t="n"/>
      <c r="I54" s="21" t="n"/>
      <c r="J54" s="21" t="n"/>
      <c r="K54" s="21" t="n"/>
      <c r="L54" s="21" t="n"/>
      <c r="M54" s="21" t="n"/>
      <c r="N54" s="21" t="n"/>
      <c r="O54" s="20">
        <f>IF(C54="","",COUNTIF(I54:N54,"Yes"))</f>
        <v/>
      </c>
      <c r="P54" s="21" t="n"/>
      <c r="Q54" s="21" t="n"/>
    </row>
    <row r="55">
      <c r="A55" s="21" t="n"/>
      <c r="B55" s="21" t="n"/>
      <c r="C55" s="21" t="n"/>
      <c r="D55" s="21" t="n"/>
      <c r="E55" s="21" t="n"/>
      <c r="F55" s="21" t="n"/>
      <c r="G55" s="21" t="n"/>
      <c r="H55" s="21" t="n"/>
      <c r="I55" s="21" t="n"/>
      <c r="J55" s="21" t="n"/>
      <c r="K55" s="21" t="n"/>
      <c r="L55" s="21" t="n"/>
      <c r="M55" s="21" t="n"/>
      <c r="N55" s="21" t="n"/>
      <c r="O55" s="20">
        <f>IF(C55="","",COUNTIF(I55:N55,"Yes"))</f>
        <v/>
      </c>
      <c r="P55" s="21" t="n"/>
      <c r="Q55" s="21" t="n"/>
    </row>
    <row r="56">
      <c r="A56" s="21" t="n"/>
      <c r="B56" s="21" t="n"/>
      <c r="C56" s="21" t="n"/>
      <c r="D56" s="21" t="n"/>
      <c r="E56" s="21" t="n"/>
      <c r="F56" s="21" t="n"/>
      <c r="G56" s="21" t="n"/>
      <c r="H56" s="21" t="n"/>
      <c r="I56" s="21" t="n"/>
      <c r="J56" s="21" t="n"/>
      <c r="K56" s="21" t="n"/>
      <c r="L56" s="21" t="n"/>
      <c r="M56" s="21" t="n"/>
      <c r="N56" s="21" t="n"/>
      <c r="O56" s="20">
        <f>IF(C56="","",COUNTIF(I56:N56,"Yes"))</f>
        <v/>
      </c>
      <c r="P56" s="21" t="n"/>
      <c r="Q56" s="21" t="n"/>
    </row>
    <row r="57">
      <c r="A57" s="21" t="n"/>
      <c r="B57" s="21" t="n"/>
      <c r="C57" s="21" t="n"/>
      <c r="D57" s="21" t="n"/>
      <c r="E57" s="21" t="n"/>
      <c r="F57" s="21" t="n"/>
      <c r="G57" s="21" t="n"/>
      <c r="H57" s="21" t="n"/>
      <c r="I57" s="21" t="n"/>
      <c r="J57" s="21" t="n"/>
      <c r="K57" s="21" t="n"/>
      <c r="L57" s="21" t="n"/>
      <c r="M57" s="21" t="n"/>
      <c r="N57" s="21" t="n"/>
      <c r="O57" s="20">
        <f>IF(C57="","",COUNTIF(I57:N57,"Yes"))</f>
        <v/>
      </c>
      <c r="P57" s="21" t="n"/>
      <c r="Q57" s="21" t="n"/>
    </row>
    <row r="58">
      <c r="A58" s="21" t="n"/>
      <c r="B58" s="21" t="n"/>
      <c r="C58" s="21" t="n"/>
      <c r="D58" s="21" t="n"/>
      <c r="E58" s="21" t="n"/>
      <c r="F58" s="21" t="n"/>
      <c r="G58" s="21" t="n"/>
      <c r="H58" s="21" t="n"/>
      <c r="I58" s="21" t="n"/>
      <c r="J58" s="21" t="n"/>
      <c r="K58" s="21" t="n"/>
      <c r="L58" s="21" t="n"/>
      <c r="M58" s="21" t="n"/>
      <c r="N58" s="21" t="n"/>
      <c r="O58" s="20">
        <f>IF(C58="","",COUNTIF(I58:N58,"Yes"))</f>
        <v/>
      </c>
      <c r="P58" s="21" t="n"/>
      <c r="Q58" s="21" t="n"/>
    </row>
    <row r="59">
      <c r="A59" s="21" t="n"/>
      <c r="B59" s="21" t="n"/>
      <c r="C59" s="21" t="n"/>
      <c r="D59" s="21" t="n"/>
      <c r="E59" s="21" t="n"/>
      <c r="F59" s="21" t="n"/>
      <c r="G59" s="21" t="n"/>
      <c r="H59" s="21" t="n"/>
      <c r="I59" s="21" t="n"/>
      <c r="J59" s="21" t="n"/>
      <c r="K59" s="21" t="n"/>
      <c r="L59" s="21" t="n"/>
      <c r="M59" s="21" t="n"/>
      <c r="N59" s="21" t="n"/>
      <c r="O59" s="20">
        <f>IF(C59="","",COUNTIF(I59:N59,"Yes"))</f>
        <v/>
      </c>
      <c r="P59" s="21" t="n"/>
      <c r="Q59" s="21" t="n"/>
    </row>
    <row r="60">
      <c r="A60" s="21" t="n"/>
      <c r="B60" s="21" t="n"/>
      <c r="C60" s="21" t="n"/>
      <c r="D60" s="21" t="n"/>
      <c r="E60" s="21" t="n"/>
      <c r="F60" s="21" t="n"/>
      <c r="G60" s="21" t="n"/>
      <c r="H60" s="21" t="n"/>
      <c r="I60" s="21" t="n"/>
      <c r="J60" s="21" t="n"/>
      <c r="K60" s="21" t="n"/>
      <c r="L60" s="21" t="n"/>
      <c r="M60" s="21" t="n"/>
      <c r="N60" s="21" t="n"/>
      <c r="O60" s="20">
        <f>IF(C60="","",COUNTIF(I60:N60,"Yes"))</f>
        <v/>
      </c>
      <c r="P60" s="21" t="n"/>
      <c r="Q60" s="21" t="n"/>
    </row>
    <row r="61">
      <c r="A61" s="21" t="n"/>
      <c r="B61" s="21" t="n"/>
      <c r="C61" s="21" t="n"/>
      <c r="D61" s="21" t="n"/>
      <c r="E61" s="21" t="n"/>
      <c r="F61" s="21" t="n"/>
      <c r="G61" s="21" t="n"/>
      <c r="H61" s="21" t="n"/>
      <c r="I61" s="21" t="n"/>
      <c r="J61" s="21" t="n"/>
      <c r="K61" s="21" t="n"/>
      <c r="L61" s="21" t="n"/>
      <c r="M61" s="21" t="n"/>
      <c r="N61" s="21" t="n"/>
      <c r="O61" s="20">
        <f>IF(C61="","",COUNTIF(I61:N61,"Yes"))</f>
        <v/>
      </c>
      <c r="P61" s="21" t="n"/>
      <c r="Q61" s="21" t="n"/>
    </row>
    <row r="62">
      <c r="A62" s="21" t="n"/>
      <c r="B62" s="21" t="n"/>
      <c r="C62" s="21" t="n"/>
      <c r="D62" s="21" t="n"/>
      <c r="E62" s="21" t="n"/>
      <c r="F62" s="21" t="n"/>
      <c r="G62" s="21" t="n"/>
      <c r="H62" s="21" t="n"/>
      <c r="I62" s="21" t="n"/>
      <c r="J62" s="21" t="n"/>
      <c r="K62" s="21" t="n"/>
      <c r="L62" s="21" t="n"/>
      <c r="M62" s="21" t="n"/>
      <c r="N62" s="21" t="n"/>
      <c r="O62" s="20">
        <f>IF(C62="","",COUNTIF(I62:N62,"Yes"))</f>
        <v/>
      </c>
      <c r="P62" s="21" t="n"/>
      <c r="Q62" s="21" t="n"/>
    </row>
    <row r="63">
      <c r="A63" s="21" t="n"/>
      <c r="B63" s="21" t="n"/>
      <c r="C63" s="21" t="n"/>
      <c r="D63" s="21" t="n"/>
      <c r="E63" s="21" t="n"/>
      <c r="F63" s="21" t="n"/>
      <c r="G63" s="21" t="n"/>
      <c r="H63" s="21" t="n"/>
      <c r="I63" s="21" t="n"/>
      <c r="J63" s="21" t="n"/>
      <c r="K63" s="21" t="n"/>
      <c r="L63" s="21" t="n"/>
      <c r="M63" s="21" t="n"/>
      <c r="N63" s="21" t="n"/>
      <c r="O63" s="20">
        <f>IF(C63="","",COUNTIF(I63:N63,"Yes"))</f>
        <v/>
      </c>
      <c r="P63" s="21" t="n"/>
      <c r="Q63" s="21" t="n"/>
    </row>
    <row r="64">
      <c r="A64" s="21" t="n"/>
      <c r="B64" s="21" t="n"/>
      <c r="C64" s="21" t="n"/>
      <c r="D64" s="21" t="n"/>
      <c r="E64" s="21" t="n"/>
      <c r="F64" s="21" t="n"/>
      <c r="G64" s="21" t="n"/>
      <c r="H64" s="21" t="n"/>
      <c r="I64" s="21" t="n"/>
      <c r="J64" s="21" t="n"/>
      <c r="K64" s="21" t="n"/>
      <c r="L64" s="21" t="n"/>
      <c r="M64" s="21" t="n"/>
      <c r="N64" s="21" t="n"/>
      <c r="O64" s="20">
        <f>IF(C64="","",COUNTIF(I64:N64,"Yes"))</f>
        <v/>
      </c>
      <c r="P64" s="21" t="n"/>
      <c r="Q64" s="21" t="n"/>
    </row>
    <row r="65">
      <c r="A65" s="21" t="n"/>
      <c r="B65" s="21" t="n"/>
      <c r="C65" s="21" t="n"/>
      <c r="D65" s="21" t="n"/>
      <c r="E65" s="21" t="n"/>
      <c r="F65" s="21" t="n"/>
      <c r="G65" s="21" t="n"/>
      <c r="H65" s="21" t="n"/>
      <c r="I65" s="21" t="n"/>
      <c r="J65" s="21" t="n"/>
      <c r="K65" s="21" t="n"/>
      <c r="L65" s="21" t="n"/>
      <c r="M65" s="21" t="n"/>
      <c r="N65" s="21" t="n"/>
      <c r="O65" s="20">
        <f>IF(C65="","",COUNTIF(I65:N65,"Yes"))</f>
        <v/>
      </c>
      <c r="P65" s="21" t="n"/>
      <c r="Q65" s="21" t="n"/>
    </row>
    <row r="66">
      <c r="A66" s="21" t="n"/>
      <c r="B66" s="21" t="n"/>
      <c r="C66" s="21" t="n"/>
      <c r="D66" s="21" t="n"/>
      <c r="E66" s="21" t="n"/>
      <c r="F66" s="21" t="n"/>
      <c r="G66" s="21" t="n"/>
      <c r="H66" s="21" t="n"/>
      <c r="I66" s="21" t="n"/>
      <c r="J66" s="21" t="n"/>
      <c r="K66" s="21" t="n"/>
      <c r="L66" s="21" t="n"/>
      <c r="M66" s="21" t="n"/>
      <c r="N66" s="21" t="n"/>
      <c r="O66" s="20">
        <f>IF(C66="","",COUNTIF(I66:N66,"Yes"))</f>
        <v/>
      </c>
      <c r="P66" s="21" t="n"/>
      <c r="Q66" s="21" t="n"/>
    </row>
    <row r="67">
      <c r="A67" s="21" t="n"/>
      <c r="B67" s="21" t="n"/>
      <c r="C67" s="21" t="n"/>
      <c r="D67" s="21" t="n"/>
      <c r="E67" s="21" t="n"/>
      <c r="F67" s="21" t="n"/>
      <c r="G67" s="21" t="n"/>
      <c r="H67" s="21" t="n"/>
      <c r="I67" s="21" t="n"/>
      <c r="J67" s="21" t="n"/>
      <c r="K67" s="21" t="n"/>
      <c r="L67" s="21" t="n"/>
      <c r="M67" s="21" t="n"/>
      <c r="N67" s="21" t="n"/>
      <c r="O67" s="20">
        <f>IF(C67="","",COUNTIF(I67:N67,"Yes"))</f>
        <v/>
      </c>
      <c r="P67" s="21" t="n"/>
      <c r="Q67" s="21" t="n"/>
    </row>
    <row r="68">
      <c r="A68" s="21" t="n"/>
      <c r="B68" s="21" t="n"/>
      <c r="C68" s="21" t="n"/>
      <c r="D68" s="21" t="n"/>
      <c r="E68" s="21" t="n"/>
      <c r="F68" s="21" t="n"/>
      <c r="G68" s="21" t="n"/>
      <c r="H68" s="21" t="n"/>
      <c r="I68" s="21" t="n"/>
      <c r="J68" s="21" t="n"/>
      <c r="K68" s="21" t="n"/>
      <c r="L68" s="21" t="n"/>
      <c r="M68" s="21" t="n"/>
      <c r="N68" s="21" t="n"/>
      <c r="O68" s="20">
        <f>IF(C68="","",COUNTIF(I68:N68,"Yes"))</f>
        <v/>
      </c>
      <c r="P68" s="21" t="n"/>
      <c r="Q68" s="21" t="n"/>
    </row>
    <row r="69">
      <c r="A69" s="21" t="n"/>
      <c r="B69" s="21" t="n"/>
      <c r="C69" s="21" t="n"/>
      <c r="D69" s="21" t="n"/>
      <c r="E69" s="21" t="n"/>
      <c r="F69" s="21" t="n"/>
      <c r="G69" s="21" t="n"/>
      <c r="H69" s="21" t="n"/>
      <c r="I69" s="21" t="n"/>
      <c r="J69" s="21" t="n"/>
      <c r="K69" s="21" t="n"/>
      <c r="L69" s="21" t="n"/>
      <c r="M69" s="21" t="n"/>
      <c r="N69" s="21" t="n"/>
      <c r="O69" s="20">
        <f>IF(C69="","",COUNTIF(I69:N69,"Yes"))</f>
        <v/>
      </c>
      <c r="P69" s="21" t="n"/>
      <c r="Q69" s="21" t="n"/>
    </row>
    <row r="70">
      <c r="A70" s="21" t="n"/>
      <c r="B70" s="21" t="n"/>
      <c r="C70" s="21" t="n"/>
      <c r="D70" s="21" t="n"/>
      <c r="E70" s="21" t="n"/>
      <c r="F70" s="21" t="n"/>
      <c r="G70" s="21" t="n"/>
      <c r="H70" s="21" t="n"/>
      <c r="I70" s="21" t="n"/>
      <c r="J70" s="21" t="n"/>
      <c r="K70" s="21" t="n"/>
      <c r="L70" s="21" t="n"/>
      <c r="M70" s="21" t="n"/>
      <c r="N70" s="21" t="n"/>
      <c r="O70" s="20">
        <f>IF(C70="","",COUNTIF(I70:N70,"Yes"))</f>
        <v/>
      </c>
      <c r="P70" s="21" t="n"/>
      <c r="Q70" s="21" t="n"/>
    </row>
    <row r="71">
      <c r="A71" s="21" t="n"/>
      <c r="B71" s="21" t="n"/>
      <c r="C71" s="21" t="n"/>
      <c r="D71" s="21" t="n"/>
      <c r="E71" s="21" t="n"/>
      <c r="F71" s="21" t="n"/>
      <c r="G71" s="21" t="n"/>
      <c r="H71" s="21" t="n"/>
      <c r="I71" s="21" t="n"/>
      <c r="J71" s="21" t="n"/>
      <c r="K71" s="21" t="n"/>
      <c r="L71" s="21" t="n"/>
      <c r="M71" s="21" t="n"/>
      <c r="N71" s="21" t="n"/>
      <c r="O71" s="20">
        <f>IF(C71="","",COUNTIF(I71:N71,"Yes"))</f>
        <v/>
      </c>
      <c r="P71" s="21" t="n"/>
      <c r="Q71" s="21" t="n"/>
    </row>
    <row r="72">
      <c r="A72" s="21" t="n"/>
      <c r="B72" s="21" t="n"/>
      <c r="C72" s="21" t="n"/>
      <c r="D72" s="21" t="n"/>
      <c r="E72" s="21" t="n"/>
      <c r="F72" s="21" t="n"/>
      <c r="G72" s="21" t="n"/>
      <c r="H72" s="21" t="n"/>
      <c r="I72" s="21" t="n"/>
      <c r="J72" s="21" t="n"/>
      <c r="K72" s="21" t="n"/>
      <c r="L72" s="21" t="n"/>
      <c r="M72" s="21" t="n"/>
      <c r="N72" s="21" t="n"/>
      <c r="O72" s="20">
        <f>IF(C72="","",COUNTIF(I72:N72,"Yes"))</f>
        <v/>
      </c>
      <c r="P72" s="21" t="n"/>
      <c r="Q72" s="21" t="n"/>
    </row>
    <row r="73">
      <c r="A73" s="21" t="n"/>
      <c r="B73" s="21" t="n"/>
      <c r="C73" s="21" t="n"/>
      <c r="D73" s="21" t="n"/>
      <c r="E73" s="21" t="n"/>
      <c r="F73" s="21" t="n"/>
      <c r="G73" s="21" t="n"/>
      <c r="H73" s="21" t="n"/>
      <c r="I73" s="21" t="n"/>
      <c r="J73" s="21" t="n"/>
      <c r="K73" s="21" t="n"/>
      <c r="L73" s="21" t="n"/>
      <c r="M73" s="21" t="n"/>
      <c r="N73" s="21" t="n"/>
      <c r="O73" s="20">
        <f>IF(C73="","",COUNTIF(I73:N73,"Yes"))</f>
        <v/>
      </c>
      <c r="P73" s="21" t="n"/>
      <c r="Q73" s="21" t="n"/>
    </row>
    <row r="74">
      <c r="A74" s="21" t="n"/>
      <c r="B74" s="21" t="n"/>
      <c r="C74" s="21" t="n"/>
      <c r="D74" s="21" t="n"/>
      <c r="E74" s="21" t="n"/>
      <c r="F74" s="21" t="n"/>
      <c r="G74" s="21" t="n"/>
      <c r="H74" s="21" t="n"/>
      <c r="I74" s="21" t="n"/>
      <c r="J74" s="21" t="n"/>
      <c r="K74" s="21" t="n"/>
      <c r="L74" s="21" t="n"/>
      <c r="M74" s="21" t="n"/>
      <c r="N74" s="21" t="n"/>
      <c r="O74" s="20">
        <f>IF(C74="","",COUNTIF(I74:N74,"Yes"))</f>
        <v/>
      </c>
      <c r="P74" s="21" t="n"/>
      <c r="Q74" s="21" t="n"/>
    </row>
    <row r="75">
      <c r="A75" s="21" t="n"/>
      <c r="B75" s="21" t="n"/>
      <c r="C75" s="21" t="n"/>
      <c r="D75" s="21" t="n"/>
      <c r="E75" s="21" t="n"/>
      <c r="F75" s="21" t="n"/>
      <c r="G75" s="21" t="n"/>
      <c r="H75" s="21" t="n"/>
      <c r="I75" s="21" t="n"/>
      <c r="J75" s="21" t="n"/>
      <c r="K75" s="21" t="n"/>
      <c r="L75" s="21" t="n"/>
      <c r="M75" s="21" t="n"/>
      <c r="N75" s="21" t="n"/>
      <c r="O75" s="20">
        <f>IF(C75="","",COUNTIF(I75:N75,"Yes"))</f>
        <v/>
      </c>
      <c r="P75" s="21" t="n"/>
      <c r="Q75" s="21" t="n"/>
    </row>
    <row r="76">
      <c r="A76" s="21" t="n"/>
      <c r="B76" s="21" t="n"/>
      <c r="C76" s="21" t="n"/>
      <c r="D76" s="21" t="n"/>
      <c r="E76" s="21" t="n"/>
      <c r="F76" s="21" t="n"/>
      <c r="G76" s="21" t="n"/>
      <c r="H76" s="21" t="n"/>
      <c r="I76" s="21" t="n"/>
      <c r="J76" s="21" t="n"/>
      <c r="K76" s="21" t="n"/>
      <c r="L76" s="21" t="n"/>
      <c r="M76" s="21" t="n"/>
      <c r="N76" s="21" t="n"/>
      <c r="O76" s="20">
        <f>IF(C76="","",COUNTIF(I76:N76,"Yes"))</f>
        <v/>
      </c>
      <c r="P76" s="21" t="n"/>
      <c r="Q76" s="21" t="n"/>
    </row>
    <row r="77">
      <c r="A77" s="21" t="n"/>
      <c r="B77" s="21" t="n"/>
      <c r="C77" s="21" t="n"/>
      <c r="D77" s="21" t="n"/>
      <c r="E77" s="21" t="n"/>
      <c r="F77" s="21" t="n"/>
      <c r="G77" s="21" t="n"/>
      <c r="H77" s="21" t="n"/>
      <c r="I77" s="21" t="n"/>
      <c r="J77" s="21" t="n"/>
      <c r="K77" s="21" t="n"/>
      <c r="L77" s="21" t="n"/>
      <c r="M77" s="21" t="n"/>
      <c r="N77" s="21" t="n"/>
      <c r="O77" s="20">
        <f>IF(C77="","",COUNTIF(I77:N77,"Yes"))</f>
        <v/>
      </c>
      <c r="P77" s="21" t="n"/>
      <c r="Q77" s="21" t="n"/>
    </row>
    <row r="78">
      <c r="A78" s="21" t="n"/>
      <c r="B78" s="21" t="n"/>
      <c r="C78" s="21" t="n"/>
      <c r="D78" s="21" t="n"/>
      <c r="E78" s="21" t="n"/>
      <c r="F78" s="21" t="n"/>
      <c r="G78" s="21" t="n"/>
      <c r="H78" s="21" t="n"/>
      <c r="I78" s="21" t="n"/>
      <c r="J78" s="21" t="n"/>
      <c r="K78" s="21" t="n"/>
      <c r="L78" s="21" t="n"/>
      <c r="M78" s="21" t="n"/>
      <c r="N78" s="21" t="n"/>
      <c r="O78" s="20">
        <f>IF(C78="","",COUNTIF(I78:N78,"Yes"))</f>
        <v/>
      </c>
      <c r="P78" s="21" t="n"/>
      <c r="Q78" s="21" t="n"/>
    </row>
    <row r="79">
      <c r="A79" s="21" t="n"/>
      <c r="B79" s="21" t="n"/>
      <c r="C79" s="21" t="n"/>
      <c r="D79" s="21" t="n"/>
      <c r="E79" s="21" t="n"/>
      <c r="F79" s="21" t="n"/>
      <c r="G79" s="21" t="n"/>
      <c r="H79" s="21" t="n"/>
      <c r="I79" s="21" t="n"/>
      <c r="J79" s="21" t="n"/>
      <c r="K79" s="21" t="n"/>
      <c r="L79" s="21" t="n"/>
      <c r="M79" s="21" t="n"/>
      <c r="N79" s="21" t="n"/>
      <c r="O79" s="20">
        <f>IF(C79="","",COUNTIF(I79:N79,"Yes"))</f>
        <v/>
      </c>
      <c r="P79" s="21" t="n"/>
      <c r="Q79" s="21" t="n"/>
    </row>
    <row r="80">
      <c r="A80" s="21" t="n"/>
      <c r="B80" s="21" t="n"/>
      <c r="C80" s="21" t="n"/>
      <c r="D80" s="21" t="n"/>
      <c r="E80" s="21" t="n"/>
      <c r="F80" s="21" t="n"/>
      <c r="G80" s="21" t="n"/>
      <c r="H80" s="21" t="n"/>
      <c r="I80" s="21" t="n"/>
      <c r="J80" s="21" t="n"/>
      <c r="K80" s="21" t="n"/>
      <c r="L80" s="21" t="n"/>
      <c r="M80" s="21" t="n"/>
      <c r="N80" s="21" t="n"/>
      <c r="O80" s="20">
        <f>IF(C80="","",COUNTIF(I80:N80,"Yes"))</f>
        <v/>
      </c>
      <c r="P80" s="21" t="n"/>
      <c r="Q80" s="21" t="n"/>
    </row>
    <row r="81">
      <c r="A81" s="21" t="n"/>
      <c r="B81" s="21" t="n"/>
      <c r="C81" s="21" t="n"/>
      <c r="D81" s="21" t="n"/>
      <c r="E81" s="21" t="n"/>
      <c r="F81" s="21" t="n"/>
      <c r="G81" s="21" t="n"/>
      <c r="H81" s="21" t="n"/>
      <c r="I81" s="21" t="n"/>
      <c r="J81" s="21" t="n"/>
      <c r="K81" s="21" t="n"/>
      <c r="L81" s="21" t="n"/>
      <c r="M81" s="21" t="n"/>
      <c r="N81" s="21" t="n"/>
      <c r="O81" s="20">
        <f>IF(C81="","",COUNTIF(I81:N81,"Yes"))</f>
        <v/>
      </c>
      <c r="P81" s="21" t="n"/>
      <c r="Q81" s="21" t="n"/>
    </row>
    <row r="82">
      <c r="A82" s="21" t="n"/>
      <c r="B82" s="21" t="n"/>
      <c r="C82" s="21" t="n"/>
      <c r="D82" s="21" t="n"/>
      <c r="E82" s="21" t="n"/>
      <c r="F82" s="21" t="n"/>
      <c r="G82" s="21" t="n"/>
      <c r="H82" s="21" t="n"/>
      <c r="I82" s="21" t="n"/>
      <c r="J82" s="21" t="n"/>
      <c r="K82" s="21" t="n"/>
      <c r="L82" s="21" t="n"/>
      <c r="M82" s="21" t="n"/>
      <c r="N82" s="21" t="n"/>
      <c r="O82" s="20">
        <f>IF(C82="","",COUNTIF(I82:N82,"Yes"))</f>
        <v/>
      </c>
      <c r="P82" s="21" t="n"/>
      <c r="Q82" s="21" t="n"/>
    </row>
    <row r="83">
      <c r="A83" s="21" t="n"/>
      <c r="B83" s="21" t="n"/>
      <c r="C83" s="21" t="n"/>
      <c r="D83" s="21" t="n"/>
      <c r="E83" s="21" t="n"/>
      <c r="F83" s="21" t="n"/>
      <c r="G83" s="21" t="n"/>
      <c r="H83" s="21" t="n"/>
      <c r="I83" s="21" t="n"/>
      <c r="J83" s="21" t="n"/>
      <c r="K83" s="21" t="n"/>
      <c r="L83" s="21" t="n"/>
      <c r="M83" s="21" t="n"/>
      <c r="N83" s="21" t="n"/>
      <c r="O83" s="20">
        <f>IF(C83="","",COUNTIF(I83:N83,"Yes"))</f>
        <v/>
      </c>
      <c r="P83" s="21" t="n"/>
      <c r="Q83" s="21" t="n"/>
    </row>
    <row r="84">
      <c r="A84" s="21" t="n"/>
      <c r="B84" s="21" t="n"/>
      <c r="C84" s="21" t="n"/>
      <c r="D84" s="21" t="n"/>
      <c r="E84" s="21" t="n"/>
      <c r="F84" s="21" t="n"/>
      <c r="G84" s="21" t="n"/>
      <c r="H84" s="21" t="n"/>
      <c r="I84" s="21" t="n"/>
      <c r="J84" s="21" t="n"/>
      <c r="K84" s="21" t="n"/>
      <c r="L84" s="21" t="n"/>
      <c r="M84" s="21" t="n"/>
      <c r="N84" s="21" t="n"/>
      <c r="O84" s="20">
        <f>IF(C84="","",COUNTIF(I84:N84,"Yes"))</f>
        <v/>
      </c>
      <c r="P84" s="21" t="n"/>
      <c r="Q84" s="21" t="n"/>
    </row>
    <row r="85">
      <c r="A85" s="21" t="n"/>
      <c r="B85" s="21" t="n"/>
      <c r="C85" s="21" t="n"/>
      <c r="D85" s="21" t="n"/>
      <c r="E85" s="21" t="n"/>
      <c r="F85" s="21" t="n"/>
      <c r="G85" s="21" t="n"/>
      <c r="H85" s="21" t="n"/>
      <c r="I85" s="21" t="n"/>
      <c r="J85" s="21" t="n"/>
      <c r="K85" s="21" t="n"/>
      <c r="L85" s="21" t="n"/>
      <c r="M85" s="21" t="n"/>
      <c r="N85" s="21" t="n"/>
      <c r="O85" s="20">
        <f>IF(C85="","",COUNTIF(I85:N85,"Yes"))</f>
        <v/>
      </c>
      <c r="P85" s="21" t="n"/>
      <c r="Q85" s="21" t="n"/>
    </row>
    <row r="86">
      <c r="A86" s="21" t="n"/>
      <c r="B86" s="21" t="n"/>
      <c r="C86" s="21" t="n"/>
      <c r="D86" s="21" t="n"/>
      <c r="E86" s="21" t="n"/>
      <c r="F86" s="21" t="n"/>
      <c r="G86" s="21" t="n"/>
      <c r="H86" s="21" t="n"/>
      <c r="I86" s="21" t="n"/>
      <c r="J86" s="21" t="n"/>
      <c r="K86" s="21" t="n"/>
      <c r="L86" s="21" t="n"/>
      <c r="M86" s="21" t="n"/>
      <c r="N86" s="21" t="n"/>
      <c r="O86" s="20">
        <f>IF(C86="","",COUNTIF(I86:N86,"Yes"))</f>
        <v/>
      </c>
      <c r="P86" s="21" t="n"/>
      <c r="Q86" s="21" t="n"/>
    </row>
    <row r="87">
      <c r="A87" s="21" t="n"/>
      <c r="B87" s="21" t="n"/>
      <c r="C87" s="21" t="n"/>
      <c r="D87" s="21" t="n"/>
      <c r="E87" s="21" t="n"/>
      <c r="F87" s="21" t="n"/>
      <c r="G87" s="21" t="n"/>
      <c r="H87" s="21" t="n"/>
      <c r="I87" s="21" t="n"/>
      <c r="J87" s="21" t="n"/>
      <c r="K87" s="21" t="n"/>
      <c r="L87" s="21" t="n"/>
      <c r="M87" s="21" t="n"/>
      <c r="N87" s="21" t="n"/>
      <c r="O87" s="20">
        <f>IF(C87="","",COUNTIF(I87:N87,"Yes"))</f>
        <v/>
      </c>
      <c r="P87" s="21" t="n"/>
      <c r="Q87" s="21" t="n"/>
    </row>
    <row r="88">
      <c r="A88" s="21" t="n"/>
      <c r="B88" s="21" t="n"/>
      <c r="C88" s="21" t="n"/>
      <c r="D88" s="21" t="n"/>
      <c r="E88" s="21" t="n"/>
      <c r="F88" s="21" t="n"/>
      <c r="G88" s="21" t="n"/>
      <c r="H88" s="21" t="n"/>
      <c r="I88" s="21" t="n"/>
      <c r="J88" s="21" t="n"/>
      <c r="K88" s="21" t="n"/>
      <c r="L88" s="21" t="n"/>
      <c r="M88" s="21" t="n"/>
      <c r="N88" s="21" t="n"/>
      <c r="O88" s="20">
        <f>IF(C88="","",COUNTIF(I88:N88,"Yes"))</f>
        <v/>
      </c>
      <c r="P88" s="21" t="n"/>
      <c r="Q88" s="21" t="n"/>
    </row>
    <row r="89">
      <c r="A89" s="21" t="n"/>
      <c r="B89" s="21" t="n"/>
      <c r="C89" s="21" t="n"/>
      <c r="D89" s="21" t="n"/>
      <c r="E89" s="21" t="n"/>
      <c r="F89" s="21" t="n"/>
      <c r="G89" s="21" t="n"/>
      <c r="H89" s="21" t="n"/>
      <c r="I89" s="21" t="n"/>
      <c r="J89" s="21" t="n"/>
      <c r="K89" s="21" t="n"/>
      <c r="L89" s="21" t="n"/>
      <c r="M89" s="21" t="n"/>
      <c r="N89" s="21" t="n"/>
      <c r="O89" s="20">
        <f>IF(C89="","",COUNTIF(I89:N89,"Yes"))</f>
        <v/>
      </c>
      <c r="P89" s="21" t="n"/>
      <c r="Q89" s="21" t="n"/>
    </row>
    <row r="90">
      <c r="A90" s="21" t="n"/>
      <c r="B90" s="21" t="n"/>
      <c r="C90" s="21" t="n"/>
      <c r="D90" s="21" t="n"/>
      <c r="E90" s="21" t="n"/>
      <c r="F90" s="21" t="n"/>
      <c r="G90" s="21" t="n"/>
      <c r="H90" s="21" t="n"/>
      <c r="I90" s="21" t="n"/>
      <c r="J90" s="21" t="n"/>
      <c r="K90" s="21" t="n"/>
      <c r="L90" s="21" t="n"/>
      <c r="M90" s="21" t="n"/>
      <c r="N90" s="21" t="n"/>
      <c r="O90" s="20">
        <f>IF(C90="","",COUNTIF(I90:N90,"Yes"))</f>
        <v/>
      </c>
      <c r="P90" s="21" t="n"/>
      <c r="Q90" s="21" t="n"/>
    </row>
    <row r="91">
      <c r="A91" s="21" t="n"/>
      <c r="B91" s="21" t="n"/>
      <c r="C91" s="21" t="n"/>
      <c r="D91" s="21" t="n"/>
      <c r="E91" s="21" t="n"/>
      <c r="F91" s="21" t="n"/>
      <c r="G91" s="21" t="n"/>
      <c r="H91" s="21" t="n"/>
      <c r="I91" s="21" t="n"/>
      <c r="J91" s="21" t="n"/>
      <c r="K91" s="21" t="n"/>
      <c r="L91" s="21" t="n"/>
      <c r="M91" s="21" t="n"/>
      <c r="N91" s="21" t="n"/>
      <c r="O91" s="20">
        <f>IF(C91="","",COUNTIF(I91:N91,"Yes"))</f>
        <v/>
      </c>
      <c r="P91" s="21" t="n"/>
      <c r="Q91" s="21" t="n"/>
    </row>
    <row r="92">
      <c r="A92" s="21" t="n"/>
      <c r="B92" s="21" t="n"/>
      <c r="C92" s="21" t="n"/>
      <c r="D92" s="21" t="n"/>
      <c r="E92" s="21" t="n"/>
      <c r="F92" s="21" t="n"/>
      <c r="G92" s="21" t="n"/>
      <c r="H92" s="21" t="n"/>
      <c r="I92" s="21" t="n"/>
      <c r="J92" s="21" t="n"/>
      <c r="K92" s="21" t="n"/>
      <c r="L92" s="21" t="n"/>
      <c r="M92" s="21" t="n"/>
      <c r="N92" s="21" t="n"/>
      <c r="O92" s="20">
        <f>IF(C92="","",COUNTIF(I92:N92,"Yes"))</f>
        <v/>
      </c>
      <c r="P92" s="21" t="n"/>
      <c r="Q92" s="21" t="n"/>
    </row>
    <row r="93">
      <c r="A93" s="21" t="n"/>
      <c r="B93" s="21" t="n"/>
      <c r="C93" s="21" t="n"/>
      <c r="D93" s="21" t="n"/>
      <c r="E93" s="21" t="n"/>
      <c r="F93" s="21" t="n"/>
      <c r="G93" s="21" t="n"/>
      <c r="H93" s="21" t="n"/>
      <c r="I93" s="21" t="n"/>
      <c r="J93" s="21" t="n"/>
      <c r="K93" s="21" t="n"/>
      <c r="L93" s="21" t="n"/>
      <c r="M93" s="21" t="n"/>
      <c r="N93" s="21" t="n"/>
      <c r="O93" s="20">
        <f>IF(C93="","",COUNTIF(I93:N93,"Yes"))</f>
        <v/>
      </c>
      <c r="P93" s="21" t="n"/>
      <c r="Q93" s="21" t="n"/>
    </row>
    <row r="94">
      <c r="A94" s="21" t="n"/>
      <c r="B94" s="21" t="n"/>
      <c r="C94" s="21" t="n"/>
      <c r="D94" s="21" t="n"/>
      <c r="E94" s="21" t="n"/>
      <c r="F94" s="21" t="n"/>
      <c r="G94" s="21" t="n"/>
      <c r="H94" s="21" t="n"/>
      <c r="I94" s="21" t="n"/>
      <c r="J94" s="21" t="n"/>
      <c r="K94" s="21" t="n"/>
      <c r="L94" s="21" t="n"/>
      <c r="M94" s="21" t="n"/>
      <c r="N94" s="21" t="n"/>
      <c r="O94" s="20">
        <f>IF(C94="","",COUNTIF(I94:N94,"Yes"))</f>
        <v/>
      </c>
      <c r="P94" s="21" t="n"/>
      <c r="Q94" s="21" t="n"/>
    </row>
    <row r="95">
      <c r="A95" s="21" t="n"/>
      <c r="B95" s="21" t="n"/>
      <c r="C95" s="21" t="n"/>
      <c r="D95" s="21" t="n"/>
      <c r="E95" s="21" t="n"/>
      <c r="F95" s="21" t="n"/>
      <c r="G95" s="21" t="n"/>
      <c r="H95" s="21" t="n"/>
      <c r="I95" s="21" t="n"/>
      <c r="J95" s="21" t="n"/>
      <c r="K95" s="21" t="n"/>
      <c r="L95" s="21" t="n"/>
      <c r="M95" s="21" t="n"/>
      <c r="N95" s="21" t="n"/>
      <c r="O95" s="20">
        <f>IF(C95="","",COUNTIF(I95:N95,"Yes"))</f>
        <v/>
      </c>
      <c r="P95" s="21" t="n"/>
      <c r="Q95" s="21" t="n"/>
    </row>
    <row r="96">
      <c r="A96" s="21" t="n"/>
      <c r="B96" s="21" t="n"/>
      <c r="C96" s="21" t="n"/>
      <c r="D96" s="21" t="n"/>
      <c r="E96" s="21" t="n"/>
      <c r="F96" s="21" t="n"/>
      <c r="G96" s="21" t="n"/>
      <c r="H96" s="21" t="n"/>
      <c r="I96" s="21" t="n"/>
      <c r="J96" s="21" t="n"/>
      <c r="K96" s="21" t="n"/>
      <c r="L96" s="21" t="n"/>
      <c r="M96" s="21" t="n"/>
      <c r="N96" s="21" t="n"/>
      <c r="O96" s="20">
        <f>IF(C96="","",COUNTIF(I96:N96,"Yes"))</f>
        <v/>
      </c>
      <c r="P96" s="21" t="n"/>
      <c r="Q96" s="21" t="n"/>
    </row>
    <row r="97">
      <c r="A97" s="21" t="n"/>
      <c r="B97" s="21" t="n"/>
      <c r="C97" s="21" t="n"/>
      <c r="D97" s="21" t="n"/>
      <c r="E97" s="21" t="n"/>
      <c r="F97" s="21" t="n"/>
      <c r="G97" s="21" t="n"/>
      <c r="H97" s="21" t="n"/>
      <c r="I97" s="21" t="n"/>
      <c r="J97" s="21" t="n"/>
      <c r="K97" s="21" t="n"/>
      <c r="L97" s="21" t="n"/>
      <c r="M97" s="21" t="n"/>
      <c r="N97" s="21" t="n"/>
      <c r="O97" s="20">
        <f>IF(C97="","",COUNTIF(I97:N97,"Yes"))</f>
        <v/>
      </c>
      <c r="P97" s="21" t="n"/>
      <c r="Q97" s="21" t="n"/>
    </row>
    <row r="98">
      <c r="A98" s="21" t="n"/>
      <c r="B98" s="21" t="n"/>
      <c r="C98" s="21" t="n"/>
      <c r="D98" s="21" t="n"/>
      <c r="E98" s="21" t="n"/>
      <c r="F98" s="21" t="n"/>
      <c r="G98" s="21" t="n"/>
      <c r="H98" s="21" t="n"/>
      <c r="I98" s="21" t="n"/>
      <c r="J98" s="21" t="n"/>
      <c r="K98" s="21" t="n"/>
      <c r="L98" s="21" t="n"/>
      <c r="M98" s="21" t="n"/>
      <c r="N98" s="21" t="n"/>
      <c r="O98" s="20">
        <f>IF(C98="","",COUNTIF(I98:N98,"Yes"))</f>
        <v/>
      </c>
      <c r="P98" s="21" t="n"/>
      <c r="Q98" s="21" t="n"/>
    </row>
    <row r="99">
      <c r="A99" s="21" t="n"/>
      <c r="B99" s="21" t="n"/>
      <c r="C99" s="21" t="n"/>
      <c r="D99" s="21" t="n"/>
      <c r="E99" s="21" t="n"/>
      <c r="F99" s="21" t="n"/>
      <c r="G99" s="21" t="n"/>
      <c r="H99" s="21" t="n"/>
      <c r="I99" s="21" t="n"/>
      <c r="J99" s="21" t="n"/>
      <c r="K99" s="21" t="n"/>
      <c r="L99" s="21" t="n"/>
      <c r="M99" s="21" t="n"/>
      <c r="N99" s="21" t="n"/>
      <c r="O99" s="20">
        <f>IF(C99="","",COUNTIF(I99:N99,"Yes"))</f>
        <v/>
      </c>
      <c r="P99" s="21" t="n"/>
      <c r="Q99" s="21" t="n"/>
    </row>
    <row r="100">
      <c r="A100" s="21" t="n"/>
      <c r="B100" s="21" t="n"/>
      <c r="C100" s="21" t="n"/>
      <c r="D100" s="21" t="n"/>
      <c r="E100" s="21" t="n"/>
      <c r="F100" s="21" t="n"/>
      <c r="G100" s="21" t="n"/>
      <c r="H100" s="21" t="n"/>
      <c r="I100" s="21" t="n"/>
      <c r="J100" s="21" t="n"/>
      <c r="K100" s="21" t="n"/>
      <c r="L100" s="21" t="n"/>
      <c r="M100" s="21" t="n"/>
      <c r="N100" s="21" t="n"/>
      <c r="O100" s="20">
        <f>IF(C100="","",COUNTIF(I100:N100,"Yes"))</f>
        <v/>
      </c>
      <c r="P100" s="21" t="n"/>
      <c r="Q100" s="21" t="n"/>
    </row>
  </sheetData>
  <autoFilter ref="A1:Q100"/>
  <conditionalFormatting sqref="I2:N100">
    <cfRule type="cellIs" priority="1" operator="equal" dxfId="4">
      <formula>"Yes"</formula>
    </cfRule>
    <cfRule type="cellIs" priority="2" operator="equal" dxfId="1">
      <formula>"Partly"</formula>
    </cfRule>
    <cfRule type="cellIs" priority="3" operator="equal" dxfId="2">
      <formula>"No"</formula>
    </cfRule>
  </conditionalFormatting>
  <dataValidations count="3">
    <dataValidation sqref="I2:N100" showDropDown="0" showInputMessage="0" showErrorMessage="0" allowBlank="1" type="list">
      <formula1>"Yes,Partly,No,Not checked"</formula1>
    </dataValidation>
    <dataValidation sqref="E2:E100" showDropDown="0" showInputMessage="0" showErrorMessage="0" allowBlank="1" type="list">
      <formula1>"Higher is better,Lower is better,Decide and explain"</formula1>
    </dataValidation>
    <dataValidation sqref="P2:Q100" showDropDown="0" showInputMessage="0" showErrorMessage="0" allowBlank="1" type="whole" operator="between">
      <formula1>1</formula1>
      <formula2>5</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
  <sheetViews>
    <sheetView showGridLines="0" workbookViewId="0">
      <pane ySplit="3" topLeftCell="A4" activePane="bottomLeft" state="frozen"/>
      <selection pane="bottomLeft" activeCell="A1" sqref="A1"/>
    </sheetView>
  </sheetViews>
  <sheetFormatPr baseColWidth="8" defaultRowHeight="15"/>
  <cols>
    <col width="44" customWidth="1" min="1" max="1"/>
    <col width="20" customWidth="1" min="2" max="2"/>
    <col width="20" customWidth="1" min="3" max="3"/>
    <col width="26" customWidth="1" min="4" max="4"/>
    <col width="22" customWidth="1" min="5" max="5"/>
    <col width="10" customWidth="1" min="6" max="6"/>
  </cols>
  <sheetData>
    <row r="1">
      <c r="A1" s="23" t="inlineStr">
        <is>
          <t>Summary of your indicator search</t>
        </is>
      </c>
    </row>
    <row r="2">
      <c r="A2" s="24" t="inlineStr">
        <is>
          <t>All figures on this tab are calculated from the Long list. Only the targets in column F and the limits in B5 and B6 can be changed, and only by the instructor.</t>
        </is>
      </c>
    </row>
    <row r="4">
      <c r="A4" s="25" t="inlineStr">
        <is>
          <t>Target: indicators to find per dimension</t>
        </is>
      </c>
      <c r="B4" s="21" t="inlineStr">
        <is>
          <t>See column F (45 in total)</t>
        </is>
      </c>
    </row>
    <row r="5">
      <c r="A5" s="25" t="inlineStr">
        <is>
          <t>Minimum number of complete indicators (each group)</t>
        </is>
      </c>
      <c r="B5" s="21" t="n">
        <v>45</v>
      </c>
    </row>
    <row r="6">
      <c r="A6" s="25" t="inlineStr">
        <is>
          <t>Maximum number of complete indicators</t>
        </is>
      </c>
      <c r="B6" s="21" t="n">
        <v>45</v>
      </c>
    </row>
    <row r="8" ht="44" customHeight="1">
      <c r="A8" s="18" t="inlineStr">
        <is>
          <t>PESTEL dimension</t>
        </is>
      </c>
      <c r="B8" s="18" t="inlineStr">
        <is>
          <t>Indicators entered</t>
        </is>
      </c>
      <c r="C8" s="18" t="inlineStr">
        <is>
          <t>Data for all six countries</t>
        </is>
      </c>
      <c r="D8" s="18" t="inlineStr">
        <is>
          <t>Complete (indicator, source name and link)</t>
        </is>
      </c>
      <c r="E8" s="18" t="inlineStr">
        <is>
          <t>Status</t>
        </is>
      </c>
      <c r="F8" s="18" t="inlineStr">
        <is>
          <t>Target</t>
        </is>
      </c>
    </row>
    <row r="9">
      <c r="A9" s="26" t="inlineStr">
        <is>
          <t>Political</t>
        </is>
      </c>
      <c r="B9" s="19">
        <f>COUNTIFS('Long list'!$B$2:$B$100,$A9,'Long list'!$C$2:$C$100,"&lt;&gt;")</f>
        <v/>
      </c>
      <c r="C9" s="19">
        <f>COUNTIFS('Long list'!$B$2:$B$100,$A9,'Long list'!$C$2:$C$100,"&lt;&gt;",'Long list'!$O$2:$O$100,6)</f>
        <v/>
      </c>
      <c r="D9" s="19">
        <f>COUNTIFS('Long list'!$B$2:$B$100,$A9,'Long list'!$C$2:$C$100,"&lt;&gt;",'Long list'!$F$2:$F$100,"&lt;&gt;",'Long list'!$G$2:$G$100,"&lt;&gt;")</f>
        <v/>
      </c>
      <c r="E9" s="19">
        <f>IF(D9&lt;F9,"Add "&amp;(F9-D9)&amp;" more","OK")</f>
        <v/>
      </c>
      <c r="F9" s="22" t="n">
        <v>5</v>
      </c>
    </row>
    <row r="10">
      <c r="A10" s="26" t="inlineStr">
        <is>
          <t>Economic</t>
        </is>
      </c>
      <c r="B10" s="19">
        <f>COUNTIFS('Long list'!$B$2:$B$100,$A10,'Long list'!$C$2:$C$100,"&lt;&gt;")</f>
        <v/>
      </c>
      <c r="C10" s="19">
        <f>COUNTIFS('Long list'!$B$2:$B$100,$A10,'Long list'!$C$2:$C$100,"&lt;&gt;",'Long list'!$O$2:$O$100,6)</f>
        <v/>
      </c>
      <c r="D10" s="19">
        <f>COUNTIFS('Long list'!$B$2:$B$100,$A10,'Long list'!$C$2:$C$100,"&lt;&gt;",'Long list'!$F$2:$F$100,"&lt;&gt;",'Long list'!$G$2:$G$100,"&lt;&gt;")</f>
        <v/>
      </c>
      <c r="E10" s="19">
        <f>IF(D10&lt;F10,"Add "&amp;(F10-D10)&amp;" more","OK")</f>
        <v/>
      </c>
      <c r="F10" s="22" t="n">
        <v>10</v>
      </c>
    </row>
    <row r="11">
      <c r="A11" s="26" t="inlineStr">
        <is>
          <t>Social</t>
        </is>
      </c>
      <c r="B11" s="19">
        <f>COUNTIFS('Long list'!$B$2:$B$100,$A11,'Long list'!$C$2:$C$100,"&lt;&gt;")</f>
        <v/>
      </c>
      <c r="C11" s="19">
        <f>COUNTIFS('Long list'!$B$2:$B$100,$A11,'Long list'!$C$2:$C$100,"&lt;&gt;",'Long list'!$O$2:$O$100,6)</f>
        <v/>
      </c>
      <c r="D11" s="19">
        <f>COUNTIFS('Long list'!$B$2:$B$100,$A11,'Long list'!$C$2:$C$100,"&lt;&gt;",'Long list'!$F$2:$F$100,"&lt;&gt;",'Long list'!$G$2:$G$100,"&lt;&gt;")</f>
        <v/>
      </c>
      <c r="E11" s="19">
        <f>IF(D11&lt;F11,"Add "&amp;(F11-D11)&amp;" more","OK")</f>
        <v/>
      </c>
      <c r="F11" s="22" t="n">
        <v>10</v>
      </c>
    </row>
    <row r="12">
      <c r="A12" s="26" t="inlineStr">
        <is>
          <t>Technological</t>
        </is>
      </c>
      <c r="B12" s="19">
        <f>COUNTIFS('Long list'!$B$2:$B$100,$A12,'Long list'!$C$2:$C$100,"&lt;&gt;")</f>
        <v/>
      </c>
      <c r="C12" s="19">
        <f>COUNTIFS('Long list'!$B$2:$B$100,$A12,'Long list'!$C$2:$C$100,"&lt;&gt;",'Long list'!$O$2:$O$100,6)</f>
        <v/>
      </c>
      <c r="D12" s="19">
        <f>COUNTIFS('Long list'!$B$2:$B$100,$A12,'Long list'!$C$2:$C$100,"&lt;&gt;",'Long list'!$F$2:$F$100,"&lt;&gt;",'Long list'!$G$2:$G$100,"&lt;&gt;")</f>
        <v/>
      </c>
      <c r="E12" s="19">
        <f>IF(D12&lt;F12,"Add "&amp;(F12-D12)&amp;" more","OK")</f>
        <v/>
      </c>
      <c r="F12" s="22" t="n">
        <v>10</v>
      </c>
    </row>
    <row r="13">
      <c r="A13" s="26" t="inlineStr">
        <is>
          <t>Environmental</t>
        </is>
      </c>
      <c r="B13" s="19">
        <f>COUNTIFS('Long list'!$B$2:$B$100,$A13,'Long list'!$C$2:$C$100,"&lt;&gt;")</f>
        <v/>
      </c>
      <c r="C13" s="19">
        <f>COUNTIFS('Long list'!$B$2:$B$100,$A13,'Long list'!$C$2:$C$100,"&lt;&gt;",'Long list'!$O$2:$O$100,6)</f>
        <v/>
      </c>
      <c r="D13" s="19">
        <f>COUNTIFS('Long list'!$B$2:$B$100,$A13,'Long list'!$C$2:$C$100,"&lt;&gt;",'Long list'!$F$2:$F$100,"&lt;&gt;",'Long list'!$G$2:$G$100,"&lt;&gt;")</f>
        <v/>
      </c>
      <c r="E13" s="19">
        <f>IF(D13&lt;F13,"Add "&amp;(F13-D13)&amp;" more","OK")</f>
        <v/>
      </c>
      <c r="F13" s="22" t="n">
        <v>5</v>
      </c>
    </row>
    <row r="14">
      <c r="A14" s="26" t="inlineStr">
        <is>
          <t>Legal</t>
        </is>
      </c>
      <c r="B14" s="19">
        <f>COUNTIFS('Long list'!$B$2:$B$100,$A14,'Long list'!$C$2:$C$100,"&lt;&gt;")</f>
        <v/>
      </c>
      <c r="C14" s="19">
        <f>COUNTIFS('Long list'!$B$2:$B$100,$A14,'Long list'!$C$2:$C$100,"&lt;&gt;",'Long list'!$O$2:$O$100,6)</f>
        <v/>
      </c>
      <c r="D14" s="19">
        <f>COUNTIFS('Long list'!$B$2:$B$100,$A14,'Long list'!$C$2:$C$100,"&lt;&gt;",'Long list'!$F$2:$F$100,"&lt;&gt;",'Long list'!$G$2:$G$100,"&lt;&gt;")</f>
        <v/>
      </c>
      <c r="E14" s="19">
        <f>IF(D14&lt;F14,"Add "&amp;(F14-D14)&amp;" more","OK")</f>
        <v/>
      </c>
      <c r="F14" s="22" t="n">
        <v>5</v>
      </c>
    </row>
    <row r="15">
      <c r="A15" s="26" t="inlineStr">
        <is>
          <t>Total</t>
        </is>
      </c>
      <c r="B15" s="27">
        <f>SUM(B9:B14)</f>
        <v/>
      </c>
      <c r="C15" s="27">
        <f>SUM(C9:C14)</f>
        <v/>
      </c>
      <c r="D15" s="27">
        <f>SUM(D9:D14)</f>
        <v/>
      </c>
      <c r="E15" s="20" t="inlineStr"/>
      <c r="F15" s="27">
        <f>SUM(F9:F14)</f>
        <v/>
      </c>
    </row>
    <row r="17">
      <c r="A17" s="25" t="inlineStr">
        <is>
          <t>Number of complete indicators</t>
        </is>
      </c>
      <c r="B17" s="20">
        <f>IF(D15&lt;$B$5,"Too few: add more",IF(D15&gt;$B$6,"Too many: cut down","Within the range"))</f>
        <v/>
      </c>
      <c r="C17" s="17" t="n"/>
    </row>
    <row r="18">
      <c r="A18" s="25" t="inlineStr">
        <is>
          <t>Indicators without data for all six countries</t>
        </is>
      </c>
      <c r="B18" s="19">
        <f>COUNTIFS('Long list'!$C$2:$C$100,"&lt;&gt;",'Long list'!$O$2:$O$100,"&lt;6")</f>
        <v/>
      </c>
    </row>
    <row r="19">
      <c r="A19" s="25" t="inlineStr">
        <is>
          <t>Indicators without source name or link</t>
        </is>
      </c>
      <c r="B19" s="19">
        <f>COUNTIFS('Long list'!$C$2:$C$100,"&lt;&gt;",'Long list'!$G$2:$G$100,"")+COUNTIFS('Long list'!$C$2:$C$100,"&lt;&gt;",'Long list'!$F$2:$F$100,"")</f>
        <v/>
      </c>
    </row>
  </sheetData>
  <mergeCells count="1">
    <mergeCell ref="B17:C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2026-10-13T16:14:55Z</dcterms:created>
  <dcterms:modified xmlns:dcterms="http://purl.org/dc/terms/" xmlns:xsi="http://www.w3.org/2001/XMLSchema-instance" xsi:type="dcterms:W3CDTF">2026-10-13T16:35:02Z</dcterms:modified>
</cp:coreProperties>
</file>