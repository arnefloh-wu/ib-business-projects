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ESTEL guide" sheetId="2" state="visible" r:id="rId2"/>
    <sheet xmlns:r="http://schemas.openxmlformats.org/officeDocument/2006/relationships" name="Long list" sheetId="3" state="visible" r:id="rId3"/>
    <sheet xmlns:r="http://schemas.openxmlformats.org/officeDocument/2006/relationships" name="Summary" sheetId="4" state="visible" r:id="rId4"/>
    <sheet xmlns:r="http://schemas.openxmlformats.org/officeDocument/2006/relationships" name="Sources" sheetId="5" state="visible" r:id="rId5"/>
  </sheets>
  <definedNames>
    <definedName name="_xlnm._FilterDatabase" localSheetId="2" hidden="1">'Long list'!$A$1:$Z$100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Verdana"/>
      <b val="1"/>
      <color rgb="00002350"/>
      <sz val="14"/>
    </font>
    <font>
      <name val="Verdana"/>
      <color rgb="00595959"/>
      <sz val="10"/>
    </font>
    <font>
      <name val="Verdana"/>
      <b val="1"/>
      <sz val="10"/>
    </font>
    <font>
      <name val="Verdana"/>
      <sz val="10"/>
    </font>
    <font>
      <name val="Verdana"/>
      <color rgb="000000FF"/>
      <sz val="10"/>
    </font>
    <font>
      <name val="Verdana"/>
      <b val="1"/>
      <color rgb="00FFFFFF"/>
      <sz val="10"/>
    </font>
  </fonts>
  <fills count="6">
    <fill>
      <patternFill/>
    </fill>
    <fill>
      <patternFill patternType="gray125"/>
    </fill>
    <fill>
      <patternFill patternType="solid">
        <fgColor rgb="00F2F2F2"/>
      </patternFill>
    </fill>
    <fill>
      <patternFill patternType="solid">
        <fgColor rgb="00FFFF00"/>
      </patternFill>
    </fill>
    <fill>
      <patternFill patternType="solid">
        <fgColor rgb="00002350"/>
      </patternFill>
    </fill>
    <fill>
      <patternFill patternType="solid">
        <fgColor rgb="00E5F5FA"/>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2" borderId="0" applyAlignment="1" pivotButton="0" quotePrefix="0" xfId="0">
      <alignment vertical="top" wrapText="1"/>
    </xf>
    <xf numFmtId="0" fontId="4" fillId="3" borderId="0" applyAlignment="1" pivotButton="0" quotePrefix="0" xfId="0">
      <alignment vertical="top" wrapText="1"/>
    </xf>
    <xf numFmtId="0" fontId="5" fillId="3" borderId="0" applyAlignment="1" pivotButton="0" quotePrefix="0" xfId="0">
      <alignment vertical="top" wrapText="1"/>
    </xf>
    <xf numFmtId="0" fontId="6" fillId="4"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2" borderId="1" applyAlignment="1" pivotButton="0" quotePrefix="0" xfId="0">
      <alignment vertical="top" wrapText="1"/>
    </xf>
    <xf numFmtId="49" fontId="5" fillId="0" borderId="1" applyAlignment="1" pivotButton="0" quotePrefix="0" xfId="0">
      <alignment vertical="top" wrapText="1"/>
    </xf>
    <xf numFmtId="0" fontId="3" fillId="2" borderId="1" applyAlignment="1" pivotButton="0" quotePrefix="0" xfId="0">
      <alignment vertical="top" wrapText="1"/>
    </xf>
    <xf numFmtId="0" fontId="0" fillId="0" borderId="4" pivotButton="0" quotePrefix="0" xfId="0"/>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ont>
        <name val="Verdana"/>
        <b val="1"/>
        <color rgb="00C00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4"/>
  <sheetViews>
    <sheetView showGridLines="1" workbookViewId="0">
      <selection activeCell="A1" sqref="A1"/>
    </sheetView>
  </sheetViews>
  <sheetFormatPr baseColWidth="8" defaultRowHeight="15"/>
  <cols>
    <col width="30" customWidth="1" min="1" max="1"/>
    <col width="110" customWidth="1" min="2" max="2"/>
  </cols>
  <sheetData>
    <row r="1">
      <c r="A1" s="1" t="inlineStr">
        <is>
          <t>PESTEL indicator search: Julius Meinl in Latin America</t>
        </is>
      </c>
    </row>
    <row r="2">
      <c r="A2" s="2" t="inlineStr">
        <is>
          <t>Business Projects WT 2026/27, midterm presentation (country selection). Countries: Argentina, Brazil, Chile, Colombia, Mexico, Uruguay.</t>
        </is>
      </c>
    </row>
    <row r="4" ht="70" customHeight="1">
      <c r="A4" s="3" t="inlineStr">
        <is>
          <t>Purpose</t>
        </is>
      </c>
      <c r="B4" s="4" t="inlineStr">
        <is>
          <t>Step 1 of the scoring method. Each group finds 45 criteria. Search for criteria (indicators) for each PESTEL dimension (political, economic, social, technological, environmental, legal) that could describe the six countries for a premium coffee launch by Julius Meinl. The instructor merges the proposals of all groups and selects the final criteria (5 political, 10 economic, 10 social, 10 technological, 5 environmental, 5 legal). After that, every group enters the raw data of its own country in the shared sheet "Country scoring model". The source is therefore essential: if your criterion is selected, the other groups must be able to find the data for their countries.</t>
        </is>
      </c>
    </row>
    <row r="6" ht="44" customHeight="1">
      <c r="A6" s="3" t="inlineStr">
        <is>
          <t>What to do</t>
        </is>
      </c>
      <c r="B6" s="4" t="inlineStr">
        <is>
          <t>1. Make your own copy: File &gt; Make a copy. Name it "Group X: PESTEL indicators". Share it with your team members (Editor) and with the instructor (Editor): arne.floh@wu.ac.at.</t>
        </is>
      </c>
    </row>
    <row r="7" ht="30" customHeight="1">
      <c r="B7" s="4" t="inlineStr">
        <is>
          <t>2. Read the tab "PESTEL guide" to see what each dimension covers and which question it answers for Julius Meinl.</t>
        </is>
      </c>
    </row>
    <row r="8" ht="44" customHeight="1">
      <c r="B8" s="4" t="inlineStr">
        <is>
          <t>3. In the tab "Long list", find at least as many candidate indicators per dimension as the Summary tab asks for. The rows marked "Instructor" are starting points; add your own rows below them and mark them "Group".</t>
        </is>
      </c>
    </row>
    <row r="9" ht="44" customHeight="1">
      <c r="B9" s="4" t="inlineStr">
        <is>
          <t>4. For every indicator, fill in the definition, unit, direction, source name and source link. The link opens the page where the data can be downloaded. Open the source and check whether data exist for each of the six countries. Set each country to Yes, Partly, No or Not checked. The instructor has not checked coverage: this is your first task.</t>
        </is>
      </c>
    </row>
    <row r="10" ht="44" customHeight="1">
      <c r="B10" s="4" t="inlineStr">
        <is>
          <t>5. In the column "How to find the data (steps) and comment" write the steps another group needs to find the numbers (for example: open the database, choose the indicator, select the country and the latest year). Qualitative criteria need a rubric with the meaning of the scores 1 to 5.</t>
        </is>
      </c>
    </row>
    <row r="11" ht="30" customHeight="1">
      <c r="B11" s="4" t="inlineStr">
        <is>
          <t>6. Rate each indicator for relevance and data quality (1 to 5).</t>
        </is>
      </c>
    </row>
    <row r="12" ht="44" customHeight="1">
      <c r="B12" s="4" t="inlineStr">
        <is>
          <t>7. Mark every indicator you propose as Proposal = Yes. You need 45 proposals: 5 political, 10 economic, 10 social, 10 technological, 5 environmental and 5 legal (the Summary tab shows what is still missing). Use the Summary tab to check that every dimension is covered, that every proposal has a source and a link, and that the data exist for all six countries.</t>
        </is>
      </c>
    </row>
    <row r="13" ht="44" customHeight="1">
      <c r="B13" s="4" t="inlineStr">
        <is>
          <t>8. Submit your sheet by session 3 (Monday 19 October 2026). The instructor merges all group sheets, preselects the final criteria and publishes the sheet "Country scoring model" with the selected criteria. You then enter the numbers of your country there.</t>
        </is>
      </c>
    </row>
    <row r="14" ht="30" customHeight="1">
      <c r="A14" s="3" t="inlineStr">
        <is>
          <t>Rules</t>
        </is>
      </c>
      <c r="B14" s="4" t="inlineStr">
        <is>
          <t>A source name and a working link are required for every proposal. The link opens the page where the data can be downloaded, not the home page of the publisher.</t>
        </is>
      </c>
    </row>
    <row r="15" ht="30" customHeight="1">
      <c r="B15" s="4" t="inlineStr">
        <is>
          <t>Write the latest year as text, for example 2024. Check the latest edition before you rely on a number.</t>
        </is>
      </c>
    </row>
    <row r="16" ht="30" customHeight="1">
      <c r="B16" s="4" t="inlineStr">
        <is>
          <t>Do not delete the instructor's rows. If you do not propose an indicator, leave Proposal empty and say why in the comment.</t>
        </is>
      </c>
    </row>
    <row r="17" ht="30" customHeight="1">
      <c r="B17" s="4" t="inlineStr">
        <is>
          <t>AI tools may help you to find indicators. Open the source yourself and confirm the data exist for all six countries before you enter Yes. List the tools you used in the comment of the row.</t>
        </is>
      </c>
    </row>
    <row r="18" ht="30" customHeight="1">
      <c r="B18" s="4" t="inlineStr">
        <is>
          <t>Qualitative indicators need a rubric: write the meaning of each score from 1 to 5 in the comment.</t>
        </is>
      </c>
    </row>
    <row r="20">
      <c r="A20" s="3" t="inlineStr">
        <is>
          <t>Colour code</t>
        </is>
      </c>
      <c r="B20" s="5" t="inlineStr">
        <is>
          <t>Blue text: typed by you or by the instructor (inputs).</t>
        </is>
      </c>
    </row>
    <row r="21">
      <c r="B21" s="6" t="inlineStr">
        <is>
          <t>Black text on grey: formula, do not edit.</t>
        </is>
      </c>
    </row>
    <row r="22">
      <c r="B22" s="7" t="inlineStr">
        <is>
          <t>Yellow fill: still to be confirmed by the instructor.</t>
        </is>
      </c>
    </row>
    <row r="24">
      <c r="A24" s="3" t="inlineStr">
        <is>
          <t>Deadline for the proposals</t>
        </is>
      </c>
      <c r="B24" s="8" t="inlineStr">
        <is>
          <t>Session 3: Monday 19 October 2026</t>
        </is>
      </c>
    </row>
    <row r="27">
      <c r="A27" s="3" t="inlineStr">
        <is>
          <t>How to fill in a row (example)</t>
        </is>
      </c>
    </row>
    <row r="28">
      <c r="A28" s="9" t="inlineStr">
        <is>
          <t>Column in "Long list"</t>
        </is>
      </c>
      <c r="B28" s="9" t="inlineStr">
        <is>
          <t>Example entry</t>
        </is>
      </c>
    </row>
    <row r="29">
      <c r="A29" s="10" t="inlineStr">
        <is>
          <t>PESTEL dimension</t>
        </is>
      </c>
      <c r="B29" s="11" t="inlineStr">
        <is>
          <t>Economic</t>
        </is>
      </c>
    </row>
    <row r="30">
      <c r="A30" s="10" t="inlineStr">
        <is>
          <t>Indicator</t>
        </is>
      </c>
      <c r="B30" s="11" t="inlineStr">
        <is>
          <t>GDP per capita, PPP</t>
        </is>
      </c>
    </row>
    <row r="31">
      <c r="A31" s="10" t="inlineStr">
        <is>
          <t>What it measures</t>
        </is>
      </c>
      <c r="B31" s="11" t="inlineStr">
        <is>
          <t>Output per person, adjusted for differences in price levels</t>
        </is>
      </c>
    </row>
    <row r="32">
      <c r="A32" s="10" t="inlineStr">
        <is>
          <t>Julius Meinl dimension</t>
        </is>
      </c>
      <c r="B32" s="11" t="inlineStr">
        <is>
          <t>Purchasing power</t>
        </is>
      </c>
    </row>
    <row r="33">
      <c r="A33" s="10" t="inlineStr">
        <is>
          <t>Type</t>
        </is>
      </c>
      <c r="B33" s="11" t="inlineStr">
        <is>
          <t>Quantitative</t>
        </is>
      </c>
    </row>
    <row r="34">
      <c r="A34" s="10" t="inlineStr">
        <is>
          <t>Unit</t>
        </is>
      </c>
      <c r="B34" s="11" t="inlineStr">
        <is>
          <t>International dollars, current</t>
        </is>
      </c>
    </row>
    <row r="35">
      <c r="A35" s="10" t="inlineStr">
        <is>
          <t>Direction</t>
        </is>
      </c>
      <c r="B35" s="11" t="inlineStr">
        <is>
          <t>Higher is better</t>
        </is>
      </c>
    </row>
    <row r="36">
      <c r="A36" s="10" t="inlineStr">
        <is>
          <t>Source name</t>
        </is>
      </c>
      <c r="B36" s="11" t="inlineStr">
        <is>
          <t>World Development Indicators, World Bank</t>
        </is>
      </c>
    </row>
    <row r="37">
      <c r="A37" s="10" t="inlineStr">
        <is>
          <t>Source link</t>
        </is>
      </c>
      <c r="B37" s="11" t="inlineStr">
        <is>
          <t>https://databank.worldbank.org/source/world-development-indicators</t>
        </is>
      </c>
    </row>
    <row r="38">
      <c r="A38" s="10" t="inlineStr">
        <is>
          <t>Latest year</t>
        </is>
      </c>
      <c r="B38" s="11" t="inlineStr">
        <is>
          <t>2024</t>
        </is>
      </c>
    </row>
    <row r="39">
      <c r="A39" s="10" t="inlineStr">
        <is>
          <t>Argentina to Uruguay</t>
        </is>
      </c>
      <c r="B39" s="11" t="inlineStr">
        <is>
          <t>Yes (six columns, one per country)</t>
        </is>
      </c>
    </row>
    <row r="40">
      <c r="A40" s="10" t="inlineStr">
        <is>
          <t>Relevance, data quality</t>
        </is>
      </c>
      <c r="B40" s="11" t="inlineStr">
        <is>
          <t>4 and 5</t>
        </is>
      </c>
    </row>
    <row r="41">
      <c r="A41" s="10" t="inlineStr">
        <is>
          <t>Proposal?</t>
        </is>
      </c>
      <c r="B41" s="11" t="inlineStr">
        <is>
          <t>Yes</t>
        </is>
      </c>
    </row>
    <row r="42">
      <c r="A42" s="10" t="inlineStr">
        <is>
          <t>Suggested by</t>
        </is>
      </c>
      <c r="B42" s="11" t="inlineStr">
        <is>
          <t>Group</t>
        </is>
      </c>
    </row>
    <row r="43">
      <c r="A43" s="10" t="inlineStr">
        <is>
          <t>Found by, date checked</t>
        </is>
      </c>
      <c r="B43" s="11" t="inlineStr">
        <is>
          <t>Student A, 2026-10-20</t>
        </is>
      </c>
    </row>
    <row r="44">
      <c r="A44" s="10" t="inlineStr">
        <is>
          <t>How to find the data (steps) and comment</t>
        </is>
      </c>
      <c r="B44" s="11" t="inlineStr">
        <is>
          <t>Open WDI, search "GDP per capita, PPP", select the six countries and the latest year. Use PPP rather than current US dollars to compare spending power.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50" customWidth="1" min="2" max="2"/>
    <col width="55" customWidth="1" min="3" max="3"/>
    <col width="38" customWidth="1" min="4" max="4"/>
    <col width="62" customWidth="1" min="5" max="5"/>
  </cols>
  <sheetData>
    <row r="1">
      <c r="A1" s="9" t="inlineStr">
        <is>
          <t>Dimension</t>
        </is>
      </c>
      <c r="B1" s="9" t="inlineStr">
        <is>
          <t>What it covers for a premium coffee launch</t>
        </is>
      </c>
      <c r="C1" s="9" t="inlineStr">
        <is>
          <t>Question to answer for Julius Meinl</t>
        </is>
      </c>
      <c r="D1" s="9" t="inlineStr">
        <is>
          <t>Related Julius Meinl dimensions</t>
        </is>
      </c>
      <c r="E1" s="9" t="inlineStr">
        <is>
          <t>Ideas to search for</t>
        </is>
      </c>
    </row>
    <row r="2" ht="70" customHeight="1">
      <c r="A2" s="12" t="inlineStr">
        <is>
          <t>Political</t>
        </is>
      </c>
      <c r="B2" s="13" t="inlineStr">
        <is>
          <t>Stability, governance quality, and the government's stance on trade and foreign business.</t>
        </is>
      </c>
      <c r="C2" s="13" t="inlineStr">
        <is>
          <t>Can a foreign premium brand and its local partner operate here without political or institutional surprises?</t>
        </is>
      </c>
      <c r="D2" s="13" t="inlineStr">
        <is>
          <t>Import and regulation</t>
        </is>
      </c>
      <c r="E2" s="13" t="inlineStr">
        <is>
          <t>Political stability, government effectiveness, corruption perception, economic freedom, trade agreement with the EU, country risk rating.</t>
        </is>
      </c>
    </row>
    <row r="3" ht="70" customHeight="1">
      <c r="A3" s="12" t="inlineStr">
        <is>
          <t>Economic</t>
        </is>
      </c>
      <c r="B3" s="13" t="inlineStr">
        <is>
          <t>Size, growth and spending power of the economy, tourism income, trade conditions and costs.</t>
        </is>
      </c>
      <c r="C3" s="13" t="inlineStr">
        <is>
          <t>Is there enough premium demand, and can Julius Meinl reach it at a viable cost?</t>
        </is>
      </c>
      <c r="D3" s="13" t="inlineStr">
        <is>
          <t>Premium coffee segment; Purchasing power; Tourism and hotels; Import and regulation</t>
        </is>
      </c>
      <c r="E3" s="13" t="inlineStr">
        <is>
          <t>GDP per capita (PPP), growth, household consumption, inflation and exchange rate, tourism receipts, coffee imports, tariffs on roasted coffee.</t>
        </is>
      </c>
    </row>
    <row r="4" ht="70" customHeight="1">
      <c r="A4" s="12" t="inlineStr">
        <is>
          <t>Social</t>
        </is>
      </c>
      <c r="B4" s="13" t="inlineStr">
        <is>
          <t>Demographics, lifestyle, culture and consumption habits, visitors.</t>
        </is>
      </c>
      <c r="C4" s="13" t="inlineStr">
        <is>
          <t>Do consumers and hotel guests value what Julius Meinl sells: Viennese coffee house culture, service and time for a cup of coffee?</t>
        </is>
      </c>
      <c r="D4" s="13" t="inlineStr">
        <is>
          <t>Coffee culture; Tourism and hotels</t>
        </is>
      </c>
      <c r="E4" s="13" t="inlineStr">
        <is>
          <t>Coffee consumption per capita, urbanisation, cultural distance from Austria, visitors from Europe, café culture, European influence.</t>
        </is>
      </c>
    </row>
    <row r="5" ht="70" customHeight="1">
      <c r="A5" s="12" t="inlineStr">
        <is>
          <t>Technological</t>
        </is>
      </c>
      <c r="B5" s="13" t="inlineStr">
        <is>
          <t>Digital and logistics infrastructure, and how people shop and pay.</t>
        </is>
      </c>
      <c r="C5" s="13" t="inlineStr">
        <is>
          <t>Can Julius Meinl reach customers through modern channels with reliable logistics?</t>
        </is>
      </c>
      <c r="D5" s="13" t="inlineStr">
        <is>
          <t>Premium coffee segment; Import and regulation</t>
        </is>
      </c>
      <c r="E5" s="13" t="inlineStr">
        <is>
          <t>Internet use, online retail and food delivery, digital payments, logistics performance, innovation capability.</t>
        </is>
      </c>
    </row>
    <row r="6" ht="70" customHeight="1">
      <c r="A6" s="12" t="inlineStr">
        <is>
          <t>Environmental</t>
        </is>
      </c>
      <c r="B6" s="13" t="inlineStr">
        <is>
          <t>Climate, sustainability expectations and supply risks.</t>
        </is>
      </c>
      <c r="C6" s="13" t="inlineStr">
        <is>
          <t>Do sustainability expectations or climate risks change demand, supply or the fit of the brand?</t>
        </is>
      </c>
      <c r="D6" s="13" t="inlineStr">
        <is>
          <t>Coffee culture; Competitive landscape</t>
        </is>
      </c>
      <c r="E6" s="13" t="inlineStr">
        <is>
          <t>Climate vulnerability, environmental performance, demand for certified coffee, domestic coffee production.</t>
        </is>
      </c>
    </row>
    <row r="7" ht="70" customHeight="1">
      <c r="A7" s="12" t="inlineStr">
        <is>
          <t>Legal</t>
        </is>
      </c>
      <c r="B7" s="13" t="inlineStr">
        <is>
          <t>Rules for importing, selling and doing business, and how reliably they are enforced.</t>
        </is>
      </c>
      <c r="C7" s="13" t="inlineStr">
        <is>
          <t>What must Julius Meinl comply with, and can contracts with a local partner be enforced?</t>
        </is>
      </c>
      <c r="D7" s="13" t="inlineStr">
        <is>
          <t>Import and regulation</t>
        </is>
      </c>
      <c r="E7" s="13" t="inlineStr">
        <is>
          <t>Regulatory quality, rule of law, product and labelling requirements, trademark protection, rules on ending distribution agreements, ease of doing business.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100"/>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41" customWidth="1" min="3" max="3"/>
    <col width="48" customWidth="1" min="4" max="4"/>
    <col width="26" customWidth="1" min="5" max="5"/>
    <col width="19" customWidth="1" min="6" max="6"/>
    <col width="26" customWidth="1" min="7" max="7"/>
    <col width="20" customWidth="1" min="8" max="8"/>
    <col width="36" customWidth="1" min="9" max="9"/>
    <col width="48"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22" customWidth="1" min="22" max="22"/>
    <col width="14" customWidth="1" min="23" max="23"/>
    <col width="17" customWidth="1" min="24" max="24"/>
    <col width="14" customWidth="1" min="25" max="25"/>
    <col width="60" customWidth="1" min="26" max="26"/>
  </cols>
  <sheetData>
    <row r="1" ht="42" customHeight="1">
      <c r="A1" s="9" t="inlineStr">
        <is>
          <t>ID</t>
        </is>
      </c>
      <c r="B1" s="9" t="inlineStr">
        <is>
          <t>PESTEL dimension</t>
        </is>
      </c>
      <c r="C1" s="9" t="inlineStr">
        <is>
          <t>Indicator</t>
        </is>
      </c>
      <c r="D1" s="9" t="inlineStr">
        <is>
          <t>What it measures</t>
        </is>
      </c>
      <c r="E1" s="9" t="inlineStr">
        <is>
          <t>Julius Meinl dimension</t>
        </is>
      </c>
      <c r="F1" s="9" t="inlineStr">
        <is>
          <t>Type</t>
        </is>
      </c>
      <c r="G1" s="9" t="inlineStr">
        <is>
          <t>Unit</t>
        </is>
      </c>
      <c r="H1" s="9" t="inlineStr">
        <is>
          <t>Direction</t>
        </is>
      </c>
      <c r="I1" s="9" t="inlineStr">
        <is>
          <t>Source name</t>
        </is>
      </c>
      <c r="J1" s="9" t="inlineStr">
        <is>
          <t>Source link</t>
        </is>
      </c>
      <c r="K1" s="9" t="inlineStr">
        <is>
          <t>Latest year</t>
        </is>
      </c>
      <c r="L1" s="9" t="inlineStr">
        <is>
          <t>Argentina</t>
        </is>
      </c>
      <c r="M1" s="9" t="inlineStr">
        <is>
          <t>Brazil</t>
        </is>
      </c>
      <c r="N1" s="9" t="inlineStr">
        <is>
          <t>Chile</t>
        </is>
      </c>
      <c r="O1" s="9" t="inlineStr">
        <is>
          <t>Colombia</t>
        </is>
      </c>
      <c r="P1" s="9" t="inlineStr">
        <is>
          <t>Mexico</t>
        </is>
      </c>
      <c r="Q1" s="9" t="inlineStr">
        <is>
          <t>Uruguay</t>
        </is>
      </c>
      <c r="R1" s="9" t="inlineStr">
        <is>
          <t>Countries covered</t>
        </is>
      </c>
      <c r="S1" s="9" t="inlineStr">
        <is>
          <t>Relevance (1-5)</t>
        </is>
      </c>
      <c r="T1" s="9" t="inlineStr">
        <is>
          <t>Data quality (1-5)</t>
        </is>
      </c>
      <c r="U1" s="9" t="inlineStr">
        <is>
          <t>Proposal?</t>
        </is>
      </c>
      <c r="V1" s="9" t="inlineStr">
        <is>
          <t>Proposal check</t>
        </is>
      </c>
      <c r="W1" s="9" t="inlineStr">
        <is>
          <t>Suggested by</t>
        </is>
      </c>
      <c r="X1" s="9" t="inlineStr">
        <is>
          <t>Found by</t>
        </is>
      </c>
      <c r="Y1" s="9" t="inlineStr">
        <is>
          <t>Date checked</t>
        </is>
      </c>
      <c r="Z1" s="9" t="inlineStr">
        <is>
          <t>How to find the data (steps) and comment</t>
        </is>
      </c>
    </row>
    <row r="2" ht="40" customHeight="1">
      <c r="A2" s="14">
        <f>IF(B2="","",UPPER(LEFT(B2,2))&amp;TEXT(COUNTIF(B$2:B2,B2),"00"))</f>
        <v/>
      </c>
      <c r="B2" s="11" t="inlineStr">
        <is>
          <t>Political</t>
        </is>
      </c>
      <c r="C2" s="11" t="inlineStr">
        <is>
          <t>Political stability and absence of violence</t>
        </is>
      </c>
      <c r="D2" s="11" t="inlineStr">
        <is>
          <t>Likelihood of political instability or politically motivated violence</t>
        </is>
      </c>
      <c r="E2" s="11" t="inlineStr">
        <is>
          <t>Other (explain)</t>
        </is>
      </c>
      <c r="F2" s="11" t="inlineStr">
        <is>
          <t>Quantitative</t>
        </is>
      </c>
      <c r="G2" s="11" t="inlineStr">
        <is>
          <t>Estimate, about -2.5 to 2.5</t>
        </is>
      </c>
      <c r="H2" s="11" t="inlineStr">
        <is>
          <t>Higher is better</t>
        </is>
      </c>
      <c r="I2" s="11" t="inlineStr">
        <is>
          <t>Worldwide Governance Indicators, World Bank</t>
        </is>
      </c>
      <c r="J2" s="11" t="inlineStr">
        <is>
          <t>https://www.worldbank.org/en/publication/worldwide-governance-indicators</t>
        </is>
      </c>
      <c r="K2" s="15" t="n"/>
      <c r="L2" s="11" t="inlineStr">
        <is>
          <t>Not checked</t>
        </is>
      </c>
      <c r="M2" s="11" t="inlineStr">
        <is>
          <t>Not checked</t>
        </is>
      </c>
      <c r="N2" s="11" t="inlineStr">
        <is>
          <t>Not checked</t>
        </is>
      </c>
      <c r="O2" s="11" t="inlineStr">
        <is>
          <t>Not checked</t>
        </is>
      </c>
      <c r="P2" s="11" t="inlineStr">
        <is>
          <t>Not checked</t>
        </is>
      </c>
      <c r="Q2" s="11" t="inlineStr">
        <is>
          <t>Not checked</t>
        </is>
      </c>
      <c r="R2" s="14">
        <f>IF(C2="","",COUNTIF(L2:Q2,"Yes"))</f>
        <v/>
      </c>
      <c r="S2" s="11" t="n"/>
      <c r="T2" s="11" t="n"/>
      <c r="U2" s="11" t="n"/>
      <c r="V2" s="14">
        <f>IF(U2="Yes",IF(R2=6,"OK","Coverage gap"),"")</f>
        <v/>
      </c>
      <c r="W2" s="11" t="inlineStr">
        <is>
          <t>Instructor</t>
        </is>
      </c>
      <c r="X2" s="11" t="n"/>
      <c r="Y2" s="15" t="n"/>
      <c r="Z2" s="11" t="inlineStr">
        <is>
          <t>Country risk is not one of Julius Meinl's six dimensions; explain why you include it.</t>
        </is>
      </c>
    </row>
    <row r="3" ht="40" customHeight="1">
      <c r="A3" s="14">
        <f>IF(B3="","",UPPER(LEFT(B3,2))&amp;TEXT(COUNTIF(B$2:B3,B3),"00"))</f>
        <v/>
      </c>
      <c r="B3" s="11" t="inlineStr">
        <is>
          <t>Political</t>
        </is>
      </c>
      <c r="C3" s="11" t="inlineStr">
        <is>
          <t>Government effectiveness</t>
        </is>
      </c>
      <c r="D3" s="11" t="inlineStr">
        <is>
          <t>Quality of public services and of policy implementation</t>
        </is>
      </c>
      <c r="E3" s="11" t="inlineStr">
        <is>
          <t>Other (explain)</t>
        </is>
      </c>
      <c r="F3" s="11" t="inlineStr">
        <is>
          <t>Quantitative</t>
        </is>
      </c>
      <c r="G3" s="11" t="inlineStr">
        <is>
          <t>Estimate, about -2.5 to 2.5</t>
        </is>
      </c>
      <c r="H3" s="11" t="inlineStr">
        <is>
          <t>Higher is better</t>
        </is>
      </c>
      <c r="I3" s="11" t="inlineStr">
        <is>
          <t>Worldwide Governance Indicators, World Bank</t>
        </is>
      </c>
      <c r="J3" s="11" t="inlineStr">
        <is>
          <t>https://www.worldbank.org/en/publication/worldwide-governance-indicators</t>
        </is>
      </c>
      <c r="K3" s="15" t="n"/>
      <c r="L3" s="11" t="inlineStr">
        <is>
          <t>Not checked</t>
        </is>
      </c>
      <c r="M3" s="11" t="inlineStr">
        <is>
          <t>Not checked</t>
        </is>
      </c>
      <c r="N3" s="11" t="inlineStr">
        <is>
          <t>Not checked</t>
        </is>
      </c>
      <c r="O3" s="11" t="inlineStr">
        <is>
          <t>Not checked</t>
        </is>
      </c>
      <c r="P3" s="11" t="inlineStr">
        <is>
          <t>Not checked</t>
        </is>
      </c>
      <c r="Q3" s="11" t="inlineStr">
        <is>
          <t>Not checked</t>
        </is>
      </c>
      <c r="R3" s="14">
        <f>IF(C3="","",COUNTIF(L3:Q3,"Yes"))</f>
        <v/>
      </c>
      <c r="S3" s="11" t="n"/>
      <c r="T3" s="11" t="n"/>
      <c r="U3" s="11" t="n"/>
      <c r="V3" s="14">
        <f>IF(U3="Yes",IF(R3=6,"OK","Coverage gap"),"")</f>
        <v/>
      </c>
      <c r="W3" s="11" t="inlineStr">
        <is>
          <t>Instructor</t>
        </is>
      </c>
      <c r="X3" s="11" t="n"/>
      <c r="Y3" s="15" t="n"/>
      <c r="Z3" s="11" t="inlineStr"/>
    </row>
    <row r="4" ht="40" customHeight="1">
      <c r="A4" s="14">
        <f>IF(B4="","",UPPER(LEFT(B4,2))&amp;TEXT(COUNTIF(B$2:B4,B4),"00"))</f>
        <v/>
      </c>
      <c r="B4" s="11" t="inlineStr">
        <is>
          <t>Political</t>
        </is>
      </c>
      <c r="C4" s="11" t="inlineStr">
        <is>
          <t>Corruption Perceptions Index</t>
        </is>
      </c>
      <c r="D4" s="11" t="inlineStr">
        <is>
          <t>Perceived corruption in the public sector</t>
        </is>
      </c>
      <c r="E4" s="11" t="inlineStr">
        <is>
          <t>Other (explain)</t>
        </is>
      </c>
      <c r="F4" s="11" t="inlineStr">
        <is>
          <t>Quantitative</t>
        </is>
      </c>
      <c r="G4" s="11" t="inlineStr">
        <is>
          <t>Score 0 (highly corrupt) to 100 (very clean)</t>
        </is>
      </c>
      <c r="H4" s="11" t="inlineStr">
        <is>
          <t>Higher is better</t>
        </is>
      </c>
      <c r="I4" s="11" t="inlineStr">
        <is>
          <t>Transparency International</t>
        </is>
      </c>
      <c r="J4" s="11" t="inlineStr">
        <is>
          <t>https://www.transparency.org/en/cpi/2025</t>
        </is>
      </c>
      <c r="K4" s="15" t="n"/>
      <c r="L4" s="11" t="inlineStr">
        <is>
          <t>Not checked</t>
        </is>
      </c>
      <c r="M4" s="11" t="inlineStr">
        <is>
          <t>Not checked</t>
        </is>
      </c>
      <c r="N4" s="11" t="inlineStr">
        <is>
          <t>Not checked</t>
        </is>
      </c>
      <c r="O4" s="11" t="inlineStr">
        <is>
          <t>Not checked</t>
        </is>
      </c>
      <c r="P4" s="11" t="inlineStr">
        <is>
          <t>Not checked</t>
        </is>
      </c>
      <c r="Q4" s="11" t="inlineStr">
        <is>
          <t>Not checked</t>
        </is>
      </c>
      <c r="R4" s="14">
        <f>IF(C4="","",COUNTIF(L4:Q4,"Yes"))</f>
        <v/>
      </c>
      <c r="S4" s="11" t="n"/>
      <c r="T4" s="11" t="n"/>
      <c r="U4" s="11" t="n"/>
      <c r="V4" s="14">
        <f>IF(U4="Yes",IF(R4=6,"OK","Coverage gap"),"")</f>
        <v/>
      </c>
      <c r="W4" s="11" t="inlineStr">
        <is>
          <t>Instructor</t>
        </is>
      </c>
      <c r="X4" s="11" t="n"/>
      <c r="Y4" s="15" t="n"/>
      <c r="Z4" s="11" t="inlineStr">
        <is>
          <t>Link shows one edition; use the latest.</t>
        </is>
      </c>
    </row>
    <row r="5" ht="40" customHeight="1">
      <c r="A5" s="14">
        <f>IF(B5="","",UPPER(LEFT(B5,2))&amp;TEXT(COUNTIF(B$2:B5,B5),"00"))</f>
        <v/>
      </c>
      <c r="B5" s="11" t="inlineStr">
        <is>
          <t>Political</t>
        </is>
      </c>
      <c r="C5" s="11" t="inlineStr">
        <is>
          <t>Index of Economic Freedom, overall score</t>
        </is>
      </c>
      <c r="D5" s="11" t="inlineStr">
        <is>
          <t>Economic freedom in 12 areas, such as property rights and trade freedom</t>
        </is>
      </c>
      <c r="E5" s="11" t="inlineStr">
        <is>
          <t>Import and regulation</t>
        </is>
      </c>
      <c r="F5" s="11" t="inlineStr">
        <is>
          <t>Quantitative</t>
        </is>
      </c>
      <c r="G5" s="11" t="inlineStr">
        <is>
          <t>Score 0 to 100</t>
        </is>
      </c>
      <c r="H5" s="11" t="inlineStr">
        <is>
          <t>Higher is better</t>
        </is>
      </c>
      <c r="I5" s="11" t="inlineStr">
        <is>
          <t>The Heritage Foundation</t>
        </is>
      </c>
      <c r="J5" s="11" t="inlineStr">
        <is>
          <t>https://www.heritage.org/index/</t>
        </is>
      </c>
      <c r="K5" s="15" t="n"/>
      <c r="L5" s="11" t="inlineStr">
        <is>
          <t>Not checked</t>
        </is>
      </c>
      <c r="M5" s="11" t="inlineStr">
        <is>
          <t>Not checked</t>
        </is>
      </c>
      <c r="N5" s="11" t="inlineStr">
        <is>
          <t>Not checked</t>
        </is>
      </c>
      <c r="O5" s="11" t="inlineStr">
        <is>
          <t>Not checked</t>
        </is>
      </c>
      <c r="P5" s="11" t="inlineStr">
        <is>
          <t>Not checked</t>
        </is>
      </c>
      <c r="Q5" s="11" t="inlineStr">
        <is>
          <t>Not checked</t>
        </is>
      </c>
      <c r="R5" s="14">
        <f>IF(C5="","",COUNTIF(L5:Q5,"Yes"))</f>
        <v/>
      </c>
      <c r="S5" s="11" t="n"/>
      <c r="T5" s="11" t="n"/>
      <c r="U5" s="11" t="n"/>
      <c r="V5" s="14">
        <f>IF(U5="Yes",IF(R5=6,"OK","Coverage gap"),"")</f>
        <v/>
      </c>
      <c r="W5" s="11" t="inlineStr">
        <is>
          <t>Instructor</t>
        </is>
      </c>
      <c r="X5" s="11" t="n"/>
      <c r="Y5" s="15" t="n"/>
      <c r="Z5" s="11" t="inlineStr"/>
    </row>
    <row r="6" ht="40" customHeight="1">
      <c r="A6" s="14">
        <f>IF(B6="","",UPPER(LEFT(B6,2))&amp;TEXT(COUNTIF(B$2:B6,B6),"00"))</f>
        <v/>
      </c>
      <c r="B6" s="11" t="inlineStr">
        <is>
          <t>Political</t>
        </is>
      </c>
      <c r="C6" s="11" t="inlineStr">
        <is>
          <t>Trade agreement between the EU and the country</t>
        </is>
      </c>
      <c r="D6" s="11" t="inlineStr">
        <is>
          <t>Whether an agreement applies and what it means for duties and access</t>
        </is>
      </c>
      <c r="E6" s="11" t="inlineStr">
        <is>
          <t>Import and regulation</t>
        </is>
      </c>
      <c r="F6" s="11" t="inlineStr">
        <is>
          <t>Qualitative rubric</t>
        </is>
      </c>
      <c r="G6" s="11" t="inlineStr">
        <is>
          <t>Score 1 to 5</t>
        </is>
      </c>
      <c r="H6" s="11" t="inlineStr">
        <is>
          <t>Higher is better</t>
        </is>
      </c>
      <c r="I6" s="11" t="inlineStr">
        <is>
          <t>EU Access2Markets</t>
        </is>
      </c>
      <c r="J6" s="11" t="inlineStr">
        <is>
          <t>https://trade.ec.europa.eu/access-to-markets/en/content/what-access2markets-0</t>
        </is>
      </c>
      <c r="K6" s="15" t="n"/>
      <c r="L6" s="11" t="inlineStr">
        <is>
          <t>Not checked</t>
        </is>
      </c>
      <c r="M6" s="11" t="inlineStr">
        <is>
          <t>Not checked</t>
        </is>
      </c>
      <c r="N6" s="11" t="inlineStr">
        <is>
          <t>Not checked</t>
        </is>
      </c>
      <c r="O6" s="11" t="inlineStr">
        <is>
          <t>Not checked</t>
        </is>
      </c>
      <c r="P6" s="11" t="inlineStr">
        <is>
          <t>Not checked</t>
        </is>
      </c>
      <c r="Q6" s="11" t="inlineStr">
        <is>
          <t>Not checked</t>
        </is>
      </c>
      <c r="R6" s="14">
        <f>IF(C6="","",COUNTIF(L6:Q6,"Yes"))</f>
        <v/>
      </c>
      <c r="S6" s="11" t="n"/>
      <c r="T6" s="11" t="n"/>
      <c r="U6" s="11" t="n"/>
      <c r="V6" s="14">
        <f>IF(U6="Yes",IF(R6=6,"OK","Coverage gap"),"")</f>
        <v/>
      </c>
      <c r="W6" s="11" t="inlineStr">
        <is>
          <t>Instructor</t>
        </is>
      </c>
      <c r="X6" s="11" t="n"/>
      <c r="Y6" s="15" t="n"/>
      <c r="Z6" s="11" t="inlineStr">
        <is>
          <t>Look up the current status and record the date.</t>
        </is>
      </c>
    </row>
    <row r="7" ht="40" customHeight="1">
      <c r="A7" s="14">
        <f>IF(B7="","",UPPER(LEFT(B7,2))&amp;TEXT(COUNTIF(B$2:B7,B7),"00"))</f>
        <v/>
      </c>
      <c r="B7" s="11" t="inlineStr">
        <is>
          <t>Political</t>
        </is>
      </c>
      <c r="C7" s="11" t="inlineStr">
        <is>
          <t>Country risk rating</t>
        </is>
      </c>
      <c r="D7" s="11" t="inlineStr">
        <is>
          <t>Insurer's rating of the average probability of payment default</t>
        </is>
      </c>
      <c r="E7" s="11" t="inlineStr">
        <is>
          <t>Other (explain)</t>
        </is>
      </c>
      <c r="F7" s="11" t="inlineStr">
        <is>
          <t>Qualitative rubric</t>
        </is>
      </c>
      <c r="G7" s="11" t="inlineStr">
        <is>
          <t>Rating A1 to E</t>
        </is>
      </c>
      <c r="H7" s="11" t="inlineStr">
        <is>
          <t>Higher is better</t>
        </is>
      </c>
      <c r="I7" s="11" t="inlineStr">
        <is>
          <t>Coface country risk assessments</t>
        </is>
      </c>
      <c r="J7" s="11" t="inlineStr">
        <is>
          <t>https://www.coface.com/news-economy-and-insights/business-risk-dashboard/country-risk-files</t>
        </is>
      </c>
      <c r="K7" s="15" t="n"/>
      <c r="L7" s="11" t="inlineStr">
        <is>
          <t>Not checked</t>
        </is>
      </c>
      <c r="M7" s="11" t="inlineStr">
        <is>
          <t>Not checked</t>
        </is>
      </c>
      <c r="N7" s="11" t="inlineStr">
        <is>
          <t>Not checked</t>
        </is>
      </c>
      <c r="O7" s="11" t="inlineStr">
        <is>
          <t>Not checked</t>
        </is>
      </c>
      <c r="P7" s="11" t="inlineStr">
        <is>
          <t>Not checked</t>
        </is>
      </c>
      <c r="Q7" s="11" t="inlineStr">
        <is>
          <t>Not checked</t>
        </is>
      </c>
      <c r="R7" s="14">
        <f>IF(C7="","",COUNTIF(L7:Q7,"Yes"))</f>
        <v/>
      </c>
      <c r="S7" s="11" t="n"/>
      <c r="T7" s="11" t="n"/>
      <c r="U7" s="11" t="n"/>
      <c r="V7" s="14">
        <f>IF(U7="Yes",IF(R7=6,"OK","Coverage gap"),"")</f>
        <v/>
      </c>
      <c r="W7" s="11" t="inlineStr">
        <is>
          <t>Instructor</t>
        </is>
      </c>
      <c r="X7" s="11" t="n"/>
      <c r="Y7" s="15" t="n"/>
      <c r="Z7" s="11" t="inlineStr">
        <is>
          <t>Convert the rating to numbers and say how.</t>
        </is>
      </c>
    </row>
    <row r="8" ht="40" customHeight="1">
      <c r="A8" s="14">
        <f>IF(B8="","",UPPER(LEFT(B8,2))&amp;TEXT(COUNTIF(B$2:B8,B8),"00"))</f>
        <v/>
      </c>
      <c r="B8" s="11" t="inlineStr">
        <is>
          <t>Economic</t>
        </is>
      </c>
      <c r="C8" s="11" t="inlineStr">
        <is>
          <t>GDP per capita, PPP</t>
        </is>
      </c>
      <c r="D8" s="11" t="inlineStr">
        <is>
          <t>Output per person, adjusted for differences in price levels</t>
        </is>
      </c>
      <c r="E8" s="11" t="inlineStr">
        <is>
          <t>Purchasing power</t>
        </is>
      </c>
      <c r="F8" s="11" t="inlineStr">
        <is>
          <t>Quantitative</t>
        </is>
      </c>
      <c r="G8" s="11" t="inlineStr">
        <is>
          <t>International dollars, current</t>
        </is>
      </c>
      <c r="H8" s="11" t="inlineStr">
        <is>
          <t>Higher is better</t>
        </is>
      </c>
      <c r="I8" s="11" t="inlineStr">
        <is>
          <t>World Development Indicators, World Bank</t>
        </is>
      </c>
      <c r="J8" s="11" t="inlineStr">
        <is>
          <t>https://databank.worldbank.org/source/world-development-indicators</t>
        </is>
      </c>
      <c r="K8" s="15" t="n"/>
      <c r="L8" s="11" t="inlineStr">
        <is>
          <t>Not checked</t>
        </is>
      </c>
      <c r="M8" s="11" t="inlineStr">
        <is>
          <t>Not checked</t>
        </is>
      </c>
      <c r="N8" s="11" t="inlineStr">
        <is>
          <t>Not checked</t>
        </is>
      </c>
      <c r="O8" s="11" t="inlineStr">
        <is>
          <t>Not checked</t>
        </is>
      </c>
      <c r="P8" s="11" t="inlineStr">
        <is>
          <t>Not checked</t>
        </is>
      </c>
      <c r="Q8" s="11" t="inlineStr">
        <is>
          <t>Not checked</t>
        </is>
      </c>
      <c r="R8" s="14">
        <f>IF(C8="","",COUNTIF(L8:Q8,"Yes"))</f>
        <v/>
      </c>
      <c r="S8" s="11" t="n"/>
      <c r="T8" s="11" t="n"/>
      <c r="U8" s="11" t="n"/>
      <c r="V8" s="14">
        <f>IF(U8="Yes",IF(R8=6,"OK","Coverage gap"),"")</f>
        <v/>
      </c>
      <c r="W8" s="11" t="inlineStr">
        <is>
          <t>Instructor</t>
        </is>
      </c>
      <c r="X8" s="11" t="n"/>
      <c r="Y8" s="15" t="n"/>
      <c r="Z8" s="11" t="inlineStr"/>
    </row>
    <row r="9" ht="40" customHeight="1">
      <c r="A9" s="14">
        <f>IF(B9="","",UPPER(LEFT(B9,2))&amp;TEXT(COUNTIF(B$2:B9,B9),"00"))</f>
        <v/>
      </c>
      <c r="B9" s="11" t="inlineStr">
        <is>
          <t>Economic</t>
        </is>
      </c>
      <c r="C9" s="11" t="inlineStr">
        <is>
          <t>GDP growth, projected</t>
        </is>
      </c>
      <c r="D9" s="11" t="inlineStr">
        <is>
          <t>Expected real growth of the economy over the next years</t>
        </is>
      </c>
      <c r="E9" s="11" t="inlineStr">
        <is>
          <t>Other (explain)</t>
        </is>
      </c>
      <c r="F9" s="11" t="inlineStr">
        <is>
          <t>Quantitative</t>
        </is>
      </c>
      <c r="G9" s="11" t="inlineStr">
        <is>
          <t>% per year</t>
        </is>
      </c>
      <c r="H9" s="11" t="inlineStr">
        <is>
          <t>Higher is better</t>
        </is>
      </c>
      <c r="I9" s="11" t="inlineStr">
        <is>
          <t>World Economic Outlook, IMF</t>
        </is>
      </c>
      <c r="J9" s="11" t="inlineStr">
        <is>
          <t>https://data.imf.org/datasets/WEO</t>
        </is>
      </c>
      <c r="K9" s="15" t="n"/>
      <c r="L9" s="11" t="inlineStr">
        <is>
          <t>Not checked</t>
        </is>
      </c>
      <c r="M9" s="11" t="inlineStr">
        <is>
          <t>Not checked</t>
        </is>
      </c>
      <c r="N9" s="11" t="inlineStr">
        <is>
          <t>Not checked</t>
        </is>
      </c>
      <c r="O9" s="11" t="inlineStr">
        <is>
          <t>Not checked</t>
        </is>
      </c>
      <c r="P9" s="11" t="inlineStr">
        <is>
          <t>Not checked</t>
        </is>
      </c>
      <c r="Q9" s="11" t="inlineStr">
        <is>
          <t>Not checked</t>
        </is>
      </c>
      <c r="R9" s="14">
        <f>IF(C9="","",COUNTIF(L9:Q9,"Yes"))</f>
        <v/>
      </c>
      <c r="S9" s="11" t="n"/>
      <c r="T9" s="11" t="n"/>
      <c r="U9" s="11" t="n"/>
      <c r="V9" s="14">
        <f>IF(U9="Yes",IF(R9=6,"OK","Coverage gap"),"")</f>
        <v/>
      </c>
      <c r="W9" s="11" t="inlineStr">
        <is>
          <t>Instructor</t>
        </is>
      </c>
      <c r="X9" s="11" t="n"/>
      <c r="Y9" s="15" t="n"/>
      <c r="Z9" s="11" t="inlineStr">
        <is>
          <t>Compare projections with past growth.</t>
        </is>
      </c>
    </row>
    <row r="10" ht="40" customHeight="1">
      <c r="A10" s="14">
        <f>IF(B10="","",UPPER(LEFT(B10,2))&amp;TEXT(COUNTIF(B$2:B10,B10),"00"))</f>
        <v/>
      </c>
      <c r="B10" s="11" t="inlineStr">
        <is>
          <t>Economic</t>
        </is>
      </c>
      <c r="C10" s="11" t="inlineStr">
        <is>
          <t>Household final consumption expenditure per capita</t>
        </is>
      </c>
      <c r="D10" s="11" t="inlineStr">
        <is>
          <t>Average household spending per person</t>
        </is>
      </c>
      <c r="E10" s="11" t="inlineStr">
        <is>
          <t>Premium coffee segment</t>
        </is>
      </c>
      <c r="F10" s="11" t="inlineStr">
        <is>
          <t>Quantitative</t>
        </is>
      </c>
      <c r="G10" s="11" t="inlineStr">
        <is>
          <t>US dollars</t>
        </is>
      </c>
      <c r="H10" s="11" t="inlineStr">
        <is>
          <t>Higher is better</t>
        </is>
      </c>
      <c r="I10" s="11" t="inlineStr">
        <is>
          <t>World Development Indicators, World Bank</t>
        </is>
      </c>
      <c r="J10" s="11" t="inlineStr">
        <is>
          <t>https://databank.worldbank.org/source/world-development-indicators</t>
        </is>
      </c>
      <c r="K10" s="15" t="n"/>
      <c r="L10" s="11" t="inlineStr">
        <is>
          <t>Not checked</t>
        </is>
      </c>
      <c r="M10" s="11" t="inlineStr">
        <is>
          <t>Not checked</t>
        </is>
      </c>
      <c r="N10" s="11" t="inlineStr">
        <is>
          <t>Not checked</t>
        </is>
      </c>
      <c r="O10" s="11" t="inlineStr">
        <is>
          <t>Not checked</t>
        </is>
      </c>
      <c r="P10" s="11" t="inlineStr">
        <is>
          <t>Not checked</t>
        </is>
      </c>
      <c r="Q10" s="11" t="inlineStr">
        <is>
          <t>Not checked</t>
        </is>
      </c>
      <c r="R10" s="14">
        <f>IF(C10="","",COUNTIF(L10:Q10,"Yes"))</f>
        <v/>
      </c>
      <c r="S10" s="11" t="n"/>
      <c r="T10" s="11" t="n"/>
      <c r="U10" s="11" t="n"/>
      <c r="V10" s="14">
        <f>IF(U10="Yes",IF(R10=6,"OK","Coverage gap"),"")</f>
        <v/>
      </c>
      <c r="W10" s="11" t="inlineStr">
        <is>
          <t>Instructor</t>
        </is>
      </c>
      <c r="X10" s="11" t="n"/>
      <c r="Y10" s="15" t="n"/>
      <c r="Z10" s="11" t="inlineStr"/>
    </row>
    <row r="11" ht="40" customHeight="1">
      <c r="A11" s="14">
        <f>IF(B11="","",UPPER(LEFT(B11,2))&amp;TEXT(COUNTIF(B$2:B11,B11),"00"))</f>
        <v/>
      </c>
      <c r="B11" s="11" t="inlineStr">
        <is>
          <t>Economic</t>
        </is>
      </c>
      <c r="C11" s="11" t="inlineStr">
        <is>
          <t>Inflation, consumer prices</t>
        </is>
      </c>
      <c r="D11" s="11" t="inlineStr">
        <is>
          <t>Annual change in consumer prices</t>
        </is>
      </c>
      <c r="E11" s="11" t="inlineStr">
        <is>
          <t>Purchasing power</t>
        </is>
      </c>
      <c r="F11" s="11" t="inlineStr">
        <is>
          <t>Quantitative</t>
        </is>
      </c>
      <c r="G11" s="11" t="inlineStr">
        <is>
          <t>% per year</t>
        </is>
      </c>
      <c r="H11" s="11" t="inlineStr">
        <is>
          <t>Lower is better</t>
        </is>
      </c>
      <c r="I11" s="11" t="inlineStr">
        <is>
          <t>World Development Indicators, World Bank</t>
        </is>
      </c>
      <c r="J11" s="11" t="inlineStr">
        <is>
          <t>https://databank.worldbank.org/source/world-development-indicators</t>
        </is>
      </c>
      <c r="K11" s="15" t="n"/>
      <c r="L11" s="11" t="inlineStr">
        <is>
          <t>Not checked</t>
        </is>
      </c>
      <c r="M11" s="11" t="inlineStr">
        <is>
          <t>Not checked</t>
        </is>
      </c>
      <c r="N11" s="11" t="inlineStr">
        <is>
          <t>Not checked</t>
        </is>
      </c>
      <c r="O11" s="11" t="inlineStr">
        <is>
          <t>Not checked</t>
        </is>
      </c>
      <c r="P11" s="11" t="inlineStr">
        <is>
          <t>Not checked</t>
        </is>
      </c>
      <c r="Q11" s="11" t="inlineStr">
        <is>
          <t>Not checked</t>
        </is>
      </c>
      <c r="R11" s="14">
        <f>IF(C11="","",COUNTIF(L11:Q11,"Yes"))</f>
        <v/>
      </c>
      <c r="S11" s="11" t="n"/>
      <c r="T11" s="11" t="n"/>
      <c r="U11" s="11" t="n"/>
      <c r="V11" s="14">
        <f>IF(U11="Yes",IF(R11=6,"OK","Coverage gap"),"")</f>
        <v/>
      </c>
      <c r="W11" s="11" t="inlineStr">
        <is>
          <t>Instructor</t>
        </is>
      </c>
      <c r="X11" s="11" t="n"/>
      <c r="Y11" s="15" t="n"/>
      <c r="Z11" s="11" t="inlineStr">
        <is>
          <t>The IMF World Economic Outlook also has projections.</t>
        </is>
      </c>
    </row>
    <row r="12" ht="40" customHeight="1">
      <c r="A12" s="14">
        <f>IF(B12="","",UPPER(LEFT(B12,2))&amp;TEXT(COUNTIF(B$2:B12,B12),"00"))</f>
        <v/>
      </c>
      <c r="B12" s="11" t="inlineStr">
        <is>
          <t>Economic</t>
        </is>
      </c>
      <c r="C12" s="11" t="inlineStr">
        <is>
          <t>International tourism, receipts</t>
        </is>
      </c>
      <c r="D12" s="11" t="inlineStr">
        <is>
          <t>Spending by international visitors in the country</t>
        </is>
      </c>
      <c r="E12" s="11" t="inlineStr">
        <is>
          <t>Tourism and hotels</t>
        </is>
      </c>
      <c r="F12" s="11" t="inlineStr">
        <is>
          <t>Quantitative</t>
        </is>
      </c>
      <c r="G12" s="11" t="inlineStr">
        <is>
          <t>US dollars</t>
        </is>
      </c>
      <c r="H12" s="11" t="inlineStr">
        <is>
          <t>Higher is better</t>
        </is>
      </c>
      <c r="I12" s="11" t="inlineStr">
        <is>
          <t>World Development Indicators, World Bank</t>
        </is>
      </c>
      <c r="J12" s="11" t="inlineStr">
        <is>
          <t>https://databank.worldbank.org/source/world-development-indicators</t>
        </is>
      </c>
      <c r="K12" s="15" t="n"/>
      <c r="L12" s="11" t="inlineStr">
        <is>
          <t>Not checked</t>
        </is>
      </c>
      <c r="M12" s="11" t="inlineStr">
        <is>
          <t>Not checked</t>
        </is>
      </c>
      <c r="N12" s="11" t="inlineStr">
        <is>
          <t>Not checked</t>
        </is>
      </c>
      <c r="O12" s="11" t="inlineStr">
        <is>
          <t>Not checked</t>
        </is>
      </c>
      <c r="P12" s="11" t="inlineStr">
        <is>
          <t>Not checked</t>
        </is>
      </c>
      <c r="Q12" s="11" t="inlineStr">
        <is>
          <t>Not checked</t>
        </is>
      </c>
      <c r="R12" s="14">
        <f>IF(C12="","",COUNTIF(L12:Q12,"Yes"))</f>
        <v/>
      </c>
      <c r="S12" s="11" t="n"/>
      <c r="T12" s="11" t="n"/>
      <c r="U12" s="11" t="n"/>
      <c r="V12" s="14">
        <f>IF(U12="Yes",IF(R12=6,"OK","Coverage gap"),"")</f>
        <v/>
      </c>
      <c r="W12" s="11" t="inlineStr">
        <is>
          <t>Instructor</t>
        </is>
      </c>
      <c r="X12" s="11" t="n"/>
      <c r="Y12" s="15" t="n"/>
      <c r="Z12" s="11" t="inlineStr"/>
    </row>
    <row r="13" ht="40" customHeight="1">
      <c r="A13" s="14">
        <f>IF(B13="","",UPPER(LEFT(B13,2))&amp;TEXT(COUNTIF(B$2:B13,B13),"00"))</f>
        <v/>
      </c>
      <c r="B13" s="11" t="inlineStr">
        <is>
          <t>Economic</t>
        </is>
      </c>
      <c r="C13" s="11" t="inlineStr">
        <is>
          <t>Coffee imports (HS 0901), value and growth</t>
        </is>
      </c>
      <c r="D13" s="11" t="inlineStr">
        <is>
          <t>Value of coffee imports and how fast they grow</t>
        </is>
      </c>
      <c r="E13" s="11" t="inlineStr">
        <is>
          <t>Premium coffee segment</t>
        </is>
      </c>
      <c r="F13" s="11" t="inlineStr">
        <is>
          <t>Quantitative</t>
        </is>
      </c>
      <c r="G13" s="11" t="inlineStr">
        <is>
          <t>US dollars; % per year</t>
        </is>
      </c>
      <c r="H13" s="11" t="inlineStr">
        <is>
          <t>Higher is better</t>
        </is>
      </c>
      <c r="I13" s="11" t="inlineStr">
        <is>
          <t>ITC Trade Map</t>
        </is>
      </c>
      <c r="J13" s="11" t="inlineStr">
        <is>
          <t>https://www.trademap.org/</t>
        </is>
      </c>
      <c r="K13" s="15" t="n"/>
      <c r="L13" s="11" t="inlineStr">
        <is>
          <t>Not checked</t>
        </is>
      </c>
      <c r="M13" s="11" t="inlineStr">
        <is>
          <t>Not checked</t>
        </is>
      </c>
      <c r="N13" s="11" t="inlineStr">
        <is>
          <t>Not checked</t>
        </is>
      </c>
      <c r="O13" s="11" t="inlineStr">
        <is>
          <t>Not checked</t>
        </is>
      </c>
      <c r="P13" s="11" t="inlineStr">
        <is>
          <t>Not checked</t>
        </is>
      </c>
      <c r="Q13" s="11" t="inlineStr">
        <is>
          <t>Not checked</t>
        </is>
      </c>
      <c r="R13" s="14">
        <f>IF(C13="","",COUNTIF(L13:Q13,"Yes"))</f>
        <v/>
      </c>
      <c r="S13" s="11" t="n"/>
      <c r="T13" s="11" t="n"/>
      <c r="U13" s="11" t="n"/>
      <c r="V13" s="14">
        <f>IF(U13="Yes",IF(R13=6,"OK","Coverage gap"),"")</f>
        <v/>
      </c>
      <c r="W13" s="11" t="inlineStr">
        <is>
          <t>Instructor</t>
        </is>
      </c>
      <c r="X13" s="11" t="n"/>
      <c r="Y13" s="15" t="n"/>
      <c r="Z13" s="11" t="inlineStr">
        <is>
          <t>Check whether imports are large enough to be meaningful in coffee-producing countries.</t>
        </is>
      </c>
    </row>
    <row r="14" ht="40" customHeight="1">
      <c r="A14" s="14">
        <f>IF(B14="","",UPPER(LEFT(B14,2))&amp;TEXT(COUNTIF(B$2:B14,B14),"00"))</f>
        <v/>
      </c>
      <c r="B14" s="11" t="inlineStr">
        <is>
          <t>Economic</t>
        </is>
      </c>
      <c r="C14" s="11" t="inlineStr">
        <is>
          <t>Applied tariff on roasted coffee (HS 0901.21), EU origin</t>
        </is>
      </c>
      <c r="D14" s="11" t="inlineStr">
        <is>
          <t>Duty that Julius Meinl would pay at the border</t>
        </is>
      </c>
      <c r="E14" s="11" t="inlineStr">
        <is>
          <t>Import and regulation</t>
        </is>
      </c>
      <c r="F14" s="11" t="inlineStr">
        <is>
          <t>Quantitative</t>
        </is>
      </c>
      <c r="G14" s="11" t="inlineStr">
        <is>
          <t>%</t>
        </is>
      </c>
      <c r="H14" s="11" t="inlineStr">
        <is>
          <t>Lower is better</t>
        </is>
      </c>
      <c r="I14" s="11" t="inlineStr">
        <is>
          <t>EU Access2Markets; WTO tariff data</t>
        </is>
      </c>
      <c r="J14" s="11" t="inlineStr">
        <is>
          <t>https://trade.ec.europa.eu/access-to-markets/en/content/what-access2markets-0</t>
        </is>
      </c>
      <c r="K14" s="15" t="n"/>
      <c r="L14" s="11" t="inlineStr">
        <is>
          <t>Not checked</t>
        </is>
      </c>
      <c r="M14" s="11" t="inlineStr">
        <is>
          <t>Not checked</t>
        </is>
      </c>
      <c r="N14" s="11" t="inlineStr">
        <is>
          <t>Not checked</t>
        </is>
      </c>
      <c r="O14" s="11" t="inlineStr">
        <is>
          <t>Not checked</t>
        </is>
      </c>
      <c r="P14" s="11" t="inlineStr">
        <is>
          <t>Not checked</t>
        </is>
      </c>
      <c r="Q14" s="11" t="inlineStr">
        <is>
          <t>Not checked</t>
        </is>
      </c>
      <c r="R14" s="14">
        <f>IF(C14="","",COUNTIF(L14:Q14,"Yes"))</f>
        <v/>
      </c>
      <c r="S14" s="11" t="n"/>
      <c r="T14" s="11" t="n"/>
      <c r="U14" s="11" t="n"/>
      <c r="V14" s="14">
        <f>IF(U14="Yes",IF(R14=6,"OK","Coverage gap"),"")</f>
        <v/>
      </c>
      <c r="W14" s="11" t="inlineStr">
        <is>
          <t>Instructor</t>
        </is>
      </c>
      <c r="X14" s="11" t="n"/>
      <c r="Y14" s="15" t="n"/>
      <c r="Z14" s="11" t="inlineStr"/>
    </row>
    <row r="15" ht="40" customHeight="1">
      <c r="A15" s="14">
        <f>IF(B15="","",UPPER(LEFT(B15,2))&amp;TEXT(COUNTIF(B$2:B15,B15),"00"))</f>
        <v/>
      </c>
      <c r="B15" s="11" t="inlineStr">
        <is>
          <t>Social</t>
        </is>
      </c>
      <c r="C15" s="11" t="inlineStr">
        <is>
          <t>Coffee consumption per capita</t>
        </is>
      </c>
      <c r="D15" s="11" t="inlineStr">
        <is>
          <t>Domestic coffee consumption per person</t>
        </is>
      </c>
      <c r="E15" s="11" t="inlineStr">
        <is>
          <t>Coffee culture</t>
        </is>
      </c>
      <c r="F15" s="11" t="inlineStr">
        <is>
          <t>Quantitative</t>
        </is>
      </c>
      <c r="G15" s="11" t="inlineStr">
        <is>
          <t>Kilograms per person (check the unit in the source)</t>
        </is>
      </c>
      <c r="H15" s="11" t="inlineStr">
        <is>
          <t>Higher is better</t>
        </is>
      </c>
      <c r="I15" s="11" t="inlineStr">
        <is>
          <t>International Coffee Organization</t>
        </is>
      </c>
      <c r="J15" s="11" t="inlineStr">
        <is>
          <t>https://www.ico.org/</t>
        </is>
      </c>
      <c r="K15" s="15" t="n"/>
      <c r="L15" s="11" t="inlineStr">
        <is>
          <t>Not checked</t>
        </is>
      </c>
      <c r="M15" s="11" t="inlineStr">
        <is>
          <t>Not checked</t>
        </is>
      </c>
      <c r="N15" s="11" t="inlineStr">
        <is>
          <t>Not checked</t>
        </is>
      </c>
      <c r="O15" s="11" t="inlineStr">
        <is>
          <t>Not checked</t>
        </is>
      </c>
      <c r="P15" s="11" t="inlineStr">
        <is>
          <t>Not checked</t>
        </is>
      </c>
      <c r="Q15" s="11" t="inlineStr">
        <is>
          <t>Not checked</t>
        </is>
      </c>
      <c r="R15" s="14">
        <f>IF(C15="","",COUNTIF(L15:Q15,"Yes"))</f>
        <v/>
      </c>
      <c r="S15" s="11" t="n"/>
      <c r="T15" s="11" t="n"/>
      <c r="U15" s="11" t="n"/>
      <c r="V15" s="14">
        <f>IF(U15="Yes",IF(R15=6,"OK","Coverage gap"),"")</f>
        <v/>
      </c>
      <c r="W15" s="11" t="inlineStr">
        <is>
          <t>Instructor</t>
        </is>
      </c>
      <c r="X15" s="11" t="n"/>
      <c r="Y15" s="15" t="n"/>
      <c r="Z15" s="11" t="inlineStr">
        <is>
          <t>Not in the World Bank data; search the ICO statistics.</t>
        </is>
      </c>
    </row>
    <row r="16" ht="40" customHeight="1">
      <c r="A16" s="14">
        <f>IF(B16="","",UPPER(LEFT(B16,2))&amp;TEXT(COUNTIF(B$2:B16,B16),"00"))</f>
        <v/>
      </c>
      <c r="B16" s="11" t="inlineStr">
        <is>
          <t>Social</t>
        </is>
      </c>
      <c r="C16" s="11" t="inlineStr">
        <is>
          <t>Urban population share</t>
        </is>
      </c>
      <c r="D16" s="11" t="inlineStr">
        <is>
          <t>Share of the population that lives in cities</t>
        </is>
      </c>
      <c r="E16" s="11" t="inlineStr">
        <is>
          <t>Premium coffee segment</t>
        </is>
      </c>
      <c r="F16" s="11" t="inlineStr">
        <is>
          <t>Quantitative</t>
        </is>
      </c>
      <c r="G16" s="11" t="inlineStr">
        <is>
          <t>% of population</t>
        </is>
      </c>
      <c r="H16" s="11" t="inlineStr">
        <is>
          <t>Higher is better</t>
        </is>
      </c>
      <c r="I16" s="11" t="inlineStr">
        <is>
          <t>World Development Indicators, World Bank</t>
        </is>
      </c>
      <c r="J16" s="11" t="inlineStr">
        <is>
          <t>https://databank.worldbank.org/source/world-development-indicators</t>
        </is>
      </c>
      <c r="K16" s="15" t="n"/>
      <c r="L16" s="11" t="inlineStr">
        <is>
          <t>Not checked</t>
        </is>
      </c>
      <c r="M16" s="11" t="inlineStr">
        <is>
          <t>Not checked</t>
        </is>
      </c>
      <c r="N16" s="11" t="inlineStr">
        <is>
          <t>Not checked</t>
        </is>
      </c>
      <c r="O16" s="11" t="inlineStr">
        <is>
          <t>Not checked</t>
        </is>
      </c>
      <c r="P16" s="11" t="inlineStr">
        <is>
          <t>Not checked</t>
        </is>
      </c>
      <c r="Q16" s="11" t="inlineStr">
        <is>
          <t>Not checked</t>
        </is>
      </c>
      <c r="R16" s="14">
        <f>IF(C16="","",COUNTIF(L16:Q16,"Yes"))</f>
        <v/>
      </c>
      <c r="S16" s="11" t="n"/>
      <c r="T16" s="11" t="n"/>
      <c r="U16" s="11" t="n"/>
      <c r="V16" s="14">
        <f>IF(U16="Yes",IF(R16=6,"OK","Coverage gap"),"")</f>
        <v/>
      </c>
      <c r="W16" s="11" t="inlineStr">
        <is>
          <t>Instructor</t>
        </is>
      </c>
      <c r="X16" s="11" t="n"/>
      <c r="Y16" s="15" t="n"/>
      <c r="Z16" s="11" t="inlineStr"/>
    </row>
    <row r="17" ht="40" customHeight="1">
      <c r="A17" s="14">
        <f>IF(B17="","",UPPER(LEFT(B17,2))&amp;TEXT(COUNTIF(B$2:B17,B17),"00"))</f>
        <v/>
      </c>
      <c r="B17" s="11" t="inlineStr">
        <is>
          <t>Social</t>
        </is>
      </c>
      <c r="C17" s="11" t="inlineStr">
        <is>
          <t>Cultural distance from Austria</t>
        </is>
      </c>
      <c r="D17" s="11" t="inlineStr">
        <is>
          <t>Distance on Hofstede's six dimensions, for example as a Kogut-Singh index</t>
        </is>
      </c>
      <c r="E17" s="11" t="inlineStr">
        <is>
          <t>Other (explain)</t>
        </is>
      </c>
      <c r="F17" s="11" t="inlineStr">
        <is>
          <t>Quantitative</t>
        </is>
      </c>
      <c r="G17" s="11" t="inlineStr">
        <is>
          <t>Index, calculated by you</t>
        </is>
      </c>
      <c r="H17" s="11" t="inlineStr">
        <is>
          <t>Lower is better</t>
        </is>
      </c>
      <c r="I17" s="11" t="inlineStr">
        <is>
          <t>Hofstede dimension data matrix</t>
        </is>
      </c>
      <c r="J17" s="11" t="inlineStr">
        <is>
          <t>https://geerthofstede.com/research-and-vsm/dimension-data-matrix/</t>
        </is>
      </c>
      <c r="K17" s="15" t="n"/>
      <c r="L17" s="11" t="inlineStr">
        <is>
          <t>Not checked</t>
        </is>
      </c>
      <c r="M17" s="11" t="inlineStr">
        <is>
          <t>Not checked</t>
        </is>
      </c>
      <c r="N17" s="11" t="inlineStr">
        <is>
          <t>Not checked</t>
        </is>
      </c>
      <c r="O17" s="11" t="inlineStr">
        <is>
          <t>Not checked</t>
        </is>
      </c>
      <c r="P17" s="11" t="inlineStr">
        <is>
          <t>Not checked</t>
        </is>
      </c>
      <c r="Q17" s="11" t="inlineStr">
        <is>
          <t>Not checked</t>
        </is>
      </c>
      <c r="R17" s="14">
        <f>IF(C17="","",COUNTIF(L17:Q17,"Yes"))</f>
        <v/>
      </c>
      <c r="S17" s="11" t="n"/>
      <c r="T17" s="11" t="n"/>
      <c r="U17" s="11" t="n"/>
      <c r="V17" s="14">
        <f>IF(U17="Yes",IF(R17=6,"OK","Coverage gap"),"")</f>
        <v/>
      </c>
      <c r="W17" s="11" t="inlineStr">
        <is>
          <t>Instructor</t>
        </is>
      </c>
      <c r="X17" s="11" t="n"/>
      <c r="Y17" s="15" t="n"/>
      <c r="Z17" s="11" t="inlineStr">
        <is>
          <t>Calculate it yourselves and note the critique of the Hofstede approach.</t>
        </is>
      </c>
    </row>
    <row r="18" ht="40" customHeight="1">
      <c r="A18" s="14">
        <f>IF(B18="","",UPPER(LEFT(B18,2))&amp;TEXT(COUNTIF(B$2:B18,B18),"00"))</f>
        <v/>
      </c>
      <c r="B18" s="11" t="inlineStr">
        <is>
          <t>Social</t>
        </is>
      </c>
      <c r="C18" s="11" t="inlineStr">
        <is>
          <t>International tourist arrivals</t>
        </is>
      </c>
      <c r="D18" s="11" t="inlineStr">
        <is>
          <t>Number of international visitors per year</t>
        </is>
      </c>
      <c r="E18" s="11" t="inlineStr">
        <is>
          <t>Tourism and hotels</t>
        </is>
      </c>
      <c r="F18" s="11" t="inlineStr">
        <is>
          <t>Quantitative</t>
        </is>
      </c>
      <c r="G18" s="11" t="inlineStr">
        <is>
          <t>Number of arrivals</t>
        </is>
      </c>
      <c r="H18" s="11" t="inlineStr">
        <is>
          <t>Higher is better</t>
        </is>
      </c>
      <c r="I18" s="11" t="inlineStr">
        <is>
          <t>World Development Indicators, World Bank (UN Tourism data)</t>
        </is>
      </c>
      <c r="J18" s="11" t="inlineStr">
        <is>
          <t>https://databank.worldbank.org/source/world-development-indicators</t>
        </is>
      </c>
      <c r="K18" s="15" t="n"/>
      <c r="L18" s="11" t="inlineStr">
        <is>
          <t>Not checked</t>
        </is>
      </c>
      <c r="M18" s="11" t="inlineStr">
        <is>
          <t>Not checked</t>
        </is>
      </c>
      <c r="N18" s="11" t="inlineStr">
        <is>
          <t>Not checked</t>
        </is>
      </c>
      <c r="O18" s="11" t="inlineStr">
        <is>
          <t>Not checked</t>
        </is>
      </c>
      <c r="P18" s="11" t="inlineStr">
        <is>
          <t>Not checked</t>
        </is>
      </c>
      <c r="Q18" s="11" t="inlineStr">
        <is>
          <t>Not checked</t>
        </is>
      </c>
      <c r="R18" s="14">
        <f>IF(C18="","",COUNTIF(L18:Q18,"Yes"))</f>
        <v/>
      </c>
      <c r="S18" s="11" t="n"/>
      <c r="T18" s="11" t="n"/>
      <c r="U18" s="11" t="n"/>
      <c r="V18" s="14">
        <f>IF(U18="Yes",IF(R18=6,"OK","Coverage gap"),"")</f>
        <v/>
      </c>
      <c r="W18" s="11" t="inlineStr">
        <is>
          <t>Instructor</t>
        </is>
      </c>
      <c r="X18" s="11" t="n"/>
      <c r="Y18" s="15" t="n"/>
      <c r="Z18" s="11" t="inlineStr"/>
    </row>
    <row r="19" ht="40" customHeight="1">
      <c r="A19" s="14">
        <f>IF(B19="","",UPPER(LEFT(B19,2))&amp;TEXT(COUNTIF(B$2:B19,B19),"00"))</f>
        <v/>
      </c>
      <c r="B19" s="11" t="inlineStr">
        <is>
          <t>Social</t>
        </is>
      </c>
      <c r="C19" s="11" t="inlineStr">
        <is>
          <t>Share of visitors from Europe</t>
        </is>
      </c>
      <c r="D19" s="11" t="inlineStr">
        <is>
          <t>Share of international arrivals that come from Europe</t>
        </is>
      </c>
      <c r="E19" s="11" t="inlineStr">
        <is>
          <t>Tourism and hotels</t>
        </is>
      </c>
      <c r="F19" s="11" t="inlineStr">
        <is>
          <t>Quantitative</t>
        </is>
      </c>
      <c r="G19" s="11" t="inlineStr">
        <is>
          <t>% of arrivals</t>
        </is>
      </c>
      <c r="H19" s="11" t="inlineStr">
        <is>
          <t>Higher is better</t>
        </is>
      </c>
      <c r="I19" s="11" t="inlineStr">
        <is>
          <t>National tourism statistics</t>
        </is>
      </c>
      <c r="J19" s="11" t="inlineStr"/>
      <c r="K19" s="15" t="n"/>
      <c r="L19" s="11" t="inlineStr">
        <is>
          <t>Not checked</t>
        </is>
      </c>
      <c r="M19" s="11" t="inlineStr">
        <is>
          <t>Not checked</t>
        </is>
      </c>
      <c r="N19" s="11" t="inlineStr">
        <is>
          <t>Not checked</t>
        </is>
      </c>
      <c r="O19" s="11" t="inlineStr">
        <is>
          <t>Not checked</t>
        </is>
      </c>
      <c r="P19" s="11" t="inlineStr">
        <is>
          <t>Not checked</t>
        </is>
      </c>
      <c r="Q19" s="11" t="inlineStr">
        <is>
          <t>Not checked</t>
        </is>
      </c>
      <c r="R19" s="14">
        <f>IF(C19="","",COUNTIF(L19:Q19,"Yes"))</f>
        <v/>
      </c>
      <c r="S19" s="11" t="n"/>
      <c r="T19" s="11" t="n"/>
      <c r="U19" s="11" t="n"/>
      <c r="V19" s="14">
        <f>IF(U19="Yes",IF(R19=6,"OK","Coverage gap"),"")</f>
        <v/>
      </c>
      <c r="W19" s="11" t="inlineStr">
        <is>
          <t>Instructor</t>
        </is>
      </c>
      <c r="X19" s="11" t="n"/>
      <c r="Y19" s="15" t="n"/>
      <c r="Z19" s="11" t="inlineStr">
        <is>
          <t>Find the national source; it may exist for only some countries.</t>
        </is>
      </c>
    </row>
    <row r="20" ht="40" customHeight="1">
      <c r="A20" s="14">
        <f>IF(B20="","",UPPER(LEFT(B20,2))&amp;TEXT(COUNTIF(B$2:B20,B20),"00"))</f>
        <v/>
      </c>
      <c r="B20" s="11" t="inlineStr">
        <is>
          <t>Social</t>
        </is>
      </c>
      <c r="C20" s="11" t="inlineStr">
        <is>
          <t>Café culture</t>
        </is>
      </c>
      <c r="D20" s="11" t="inlineStr">
        <is>
          <t>Importance of cafés and coffee-house tradition in everyday life</t>
        </is>
      </c>
      <c r="E20" s="11" t="inlineStr">
        <is>
          <t>Coffee culture</t>
        </is>
      </c>
      <c r="F20" s="11" t="inlineStr">
        <is>
          <t>Qualitative rubric</t>
        </is>
      </c>
      <c r="G20" s="11" t="inlineStr">
        <is>
          <t>Score 1 to 5</t>
        </is>
      </c>
      <c r="H20" s="11" t="inlineStr">
        <is>
          <t>Higher is better</t>
        </is>
      </c>
      <c r="I20" s="11" t="inlineStr">
        <is>
          <t>Own assessment (industry reports, travel guides)</t>
        </is>
      </c>
      <c r="J20" s="11" t="inlineStr"/>
      <c r="K20" s="15" t="n"/>
      <c r="L20" s="11" t="inlineStr">
        <is>
          <t>Not checked</t>
        </is>
      </c>
      <c r="M20" s="11" t="inlineStr">
        <is>
          <t>Not checked</t>
        </is>
      </c>
      <c r="N20" s="11" t="inlineStr">
        <is>
          <t>Not checked</t>
        </is>
      </c>
      <c r="O20" s="11" t="inlineStr">
        <is>
          <t>Not checked</t>
        </is>
      </c>
      <c r="P20" s="11" t="inlineStr">
        <is>
          <t>Not checked</t>
        </is>
      </c>
      <c r="Q20" s="11" t="inlineStr">
        <is>
          <t>Not checked</t>
        </is>
      </c>
      <c r="R20" s="14">
        <f>IF(C20="","",COUNTIF(L20:Q20,"Yes"))</f>
        <v/>
      </c>
      <c r="S20" s="11" t="n"/>
      <c r="T20" s="11" t="n"/>
      <c r="U20" s="11" t="n"/>
      <c r="V20" s="14">
        <f>IF(U20="Yes",IF(R20=6,"OK","Coverage gap"),"")</f>
        <v/>
      </c>
      <c r="W20" s="11" t="inlineStr">
        <is>
          <t>Instructor</t>
        </is>
      </c>
      <c r="X20" s="11" t="n"/>
      <c r="Y20" s="15" t="n"/>
      <c r="Z20" s="11" t="inlineStr">
        <is>
          <t>Define each score and let two team members rate independently.</t>
        </is>
      </c>
    </row>
    <row r="21" ht="40" customHeight="1">
      <c r="A21" s="14">
        <f>IF(B21="","",UPPER(LEFT(B21,2))&amp;TEXT(COUNTIF(B$2:B21,B21),"00"))</f>
        <v/>
      </c>
      <c r="B21" s="11" t="inlineStr">
        <is>
          <t>Social</t>
        </is>
      </c>
      <c r="C21" s="11" t="inlineStr">
        <is>
          <t>European influence on coffee culture</t>
        </is>
      </c>
      <c r="D21" s="11" t="inlineStr">
        <is>
          <t>Presence of a European café tradition, for example through migration history</t>
        </is>
      </c>
      <c r="E21" s="11" t="inlineStr">
        <is>
          <t>Coffee culture</t>
        </is>
      </c>
      <c r="F21" s="11" t="inlineStr">
        <is>
          <t>Qualitative rubric</t>
        </is>
      </c>
      <c r="G21" s="11" t="inlineStr">
        <is>
          <t>Score 1 to 5</t>
        </is>
      </c>
      <c r="H21" s="11" t="inlineStr">
        <is>
          <t>Higher is better</t>
        </is>
      </c>
      <c r="I21" s="11" t="inlineStr">
        <is>
          <t>Own assessment (industry reports, history sources)</t>
        </is>
      </c>
      <c r="J21" s="11" t="inlineStr"/>
      <c r="K21" s="15" t="n"/>
      <c r="L21" s="11" t="inlineStr">
        <is>
          <t>Not checked</t>
        </is>
      </c>
      <c r="M21" s="11" t="inlineStr">
        <is>
          <t>Not checked</t>
        </is>
      </c>
      <c r="N21" s="11" t="inlineStr">
        <is>
          <t>Not checked</t>
        </is>
      </c>
      <c r="O21" s="11" t="inlineStr">
        <is>
          <t>Not checked</t>
        </is>
      </c>
      <c r="P21" s="11" t="inlineStr">
        <is>
          <t>Not checked</t>
        </is>
      </c>
      <c r="Q21" s="11" t="inlineStr">
        <is>
          <t>Not checked</t>
        </is>
      </c>
      <c r="R21" s="14">
        <f>IF(C21="","",COUNTIF(L21:Q21,"Yes"))</f>
        <v/>
      </c>
      <c r="S21" s="11" t="n"/>
      <c r="T21" s="11" t="n"/>
      <c r="U21" s="11" t="n"/>
      <c r="V21" s="14">
        <f>IF(U21="Yes",IF(R21=6,"OK","Coverage gap"),"")</f>
        <v/>
      </c>
      <c r="W21" s="11" t="inlineStr">
        <is>
          <t>Instructor</t>
        </is>
      </c>
      <c r="X21" s="11" t="n"/>
      <c r="Y21" s="15" t="n"/>
      <c r="Z21" s="11" t="inlineStr">
        <is>
          <t>Julius Meinl assumes this matters. The assumption is unverified.</t>
        </is>
      </c>
    </row>
    <row r="22" ht="40" customHeight="1">
      <c r="A22" s="14">
        <f>IF(B22="","",UPPER(LEFT(B22,2))&amp;TEXT(COUNTIF(B$2:B22,B22),"00"))</f>
        <v/>
      </c>
      <c r="B22" s="11" t="inlineStr">
        <is>
          <t>Technological</t>
        </is>
      </c>
      <c r="C22" s="11" t="inlineStr">
        <is>
          <t>Individuals using the Internet</t>
        </is>
      </c>
      <c r="D22" s="11" t="inlineStr">
        <is>
          <t>Share of the population that is online</t>
        </is>
      </c>
      <c r="E22" s="11" t="inlineStr">
        <is>
          <t>Other (explain)</t>
        </is>
      </c>
      <c r="F22" s="11" t="inlineStr">
        <is>
          <t>Quantitative</t>
        </is>
      </c>
      <c r="G22" s="11" t="inlineStr">
        <is>
          <t>% of population</t>
        </is>
      </c>
      <c r="H22" s="11" t="inlineStr">
        <is>
          <t>Higher is better</t>
        </is>
      </c>
      <c r="I22" s="11" t="inlineStr">
        <is>
          <t>World Development Indicators, World Bank</t>
        </is>
      </c>
      <c r="J22" s="11" t="inlineStr">
        <is>
          <t>https://databank.worldbank.org/source/world-development-indicators</t>
        </is>
      </c>
      <c r="K22" s="15" t="n"/>
      <c r="L22" s="11" t="inlineStr">
        <is>
          <t>Not checked</t>
        </is>
      </c>
      <c r="M22" s="11" t="inlineStr">
        <is>
          <t>Not checked</t>
        </is>
      </c>
      <c r="N22" s="11" t="inlineStr">
        <is>
          <t>Not checked</t>
        </is>
      </c>
      <c r="O22" s="11" t="inlineStr">
        <is>
          <t>Not checked</t>
        </is>
      </c>
      <c r="P22" s="11" t="inlineStr">
        <is>
          <t>Not checked</t>
        </is>
      </c>
      <c r="Q22" s="11" t="inlineStr">
        <is>
          <t>Not checked</t>
        </is>
      </c>
      <c r="R22" s="14">
        <f>IF(C22="","",COUNTIF(L22:Q22,"Yes"))</f>
        <v/>
      </c>
      <c r="S22" s="11" t="n"/>
      <c r="T22" s="11" t="n"/>
      <c r="U22" s="11" t="n"/>
      <c r="V22" s="14">
        <f>IF(U22="Yes",IF(R22=6,"OK","Coverage gap"),"")</f>
        <v/>
      </c>
      <c r="W22" s="11" t="inlineStr">
        <is>
          <t>Instructor</t>
        </is>
      </c>
      <c r="X22" s="11" t="n"/>
      <c r="Y22" s="15" t="n"/>
      <c r="Z22" s="11" t="inlineStr"/>
    </row>
    <row r="23" ht="40" customHeight="1">
      <c r="A23" s="14">
        <f>IF(B23="","",UPPER(LEFT(B23,2))&amp;TEXT(COUNTIF(B$2:B23,B23),"00"))</f>
        <v/>
      </c>
      <c r="B23" s="11" t="inlineStr">
        <is>
          <t>Technological</t>
        </is>
      </c>
      <c r="C23" s="11" t="inlineStr">
        <is>
          <t>Logistics Performance Index</t>
        </is>
      </c>
      <c r="D23" s="11" t="inlineStr">
        <is>
          <t>Customs, infrastructure, shipments, competence, tracking and timeliness</t>
        </is>
      </c>
      <c r="E23" s="11" t="inlineStr">
        <is>
          <t>Import and regulation</t>
        </is>
      </c>
      <c r="F23" s="11" t="inlineStr">
        <is>
          <t>Quantitative</t>
        </is>
      </c>
      <c r="G23" s="11" t="inlineStr">
        <is>
          <t>Score 1 to 5</t>
        </is>
      </c>
      <c r="H23" s="11" t="inlineStr">
        <is>
          <t>Higher is better</t>
        </is>
      </c>
      <c r="I23" s="11" t="inlineStr">
        <is>
          <t>Logistics Performance Index, World Bank</t>
        </is>
      </c>
      <c r="J23" s="11" t="inlineStr">
        <is>
          <t>https://lpi.worldbank.org/</t>
        </is>
      </c>
      <c r="K23" s="15" t="n"/>
      <c r="L23" s="11" t="inlineStr">
        <is>
          <t>Not checked</t>
        </is>
      </c>
      <c r="M23" s="11" t="inlineStr">
        <is>
          <t>Not checked</t>
        </is>
      </c>
      <c r="N23" s="11" t="inlineStr">
        <is>
          <t>Not checked</t>
        </is>
      </c>
      <c r="O23" s="11" t="inlineStr">
        <is>
          <t>Not checked</t>
        </is>
      </c>
      <c r="P23" s="11" t="inlineStr">
        <is>
          <t>Not checked</t>
        </is>
      </c>
      <c r="Q23" s="11" t="inlineStr">
        <is>
          <t>Not checked</t>
        </is>
      </c>
      <c r="R23" s="14">
        <f>IF(C23="","",COUNTIF(L23:Q23,"Yes"))</f>
        <v/>
      </c>
      <c r="S23" s="11" t="n"/>
      <c r="T23" s="11" t="n"/>
      <c r="U23" s="11" t="n"/>
      <c r="V23" s="14">
        <f>IF(U23="Yes",IF(R23=6,"OK","Coverage gap"),"")</f>
        <v/>
      </c>
      <c r="W23" s="11" t="inlineStr">
        <is>
          <t>Instructor</t>
        </is>
      </c>
      <c r="X23" s="11" t="n"/>
      <c r="Y23" s="15" t="n"/>
      <c r="Z23" s="11" t="inlineStr">
        <is>
          <t>The survey-based index ends with the 2023 edition.</t>
        </is>
      </c>
    </row>
    <row r="24" ht="40" customHeight="1">
      <c r="A24" s="14">
        <f>IF(B24="","",UPPER(LEFT(B24,2))&amp;TEXT(COUNTIF(B$2:B24,B24),"00"))</f>
        <v/>
      </c>
      <c r="B24" s="11" t="inlineStr">
        <is>
          <t>Technological</t>
        </is>
      </c>
      <c r="C24" s="11" t="inlineStr">
        <is>
          <t>Global Innovation Index</t>
        </is>
      </c>
      <c r="D24" s="11" t="inlineStr">
        <is>
          <t>Innovation capability, seven pillars</t>
        </is>
      </c>
      <c r="E24" s="11" t="inlineStr">
        <is>
          <t>Other (explain)</t>
        </is>
      </c>
      <c r="F24" s="11" t="inlineStr">
        <is>
          <t>Quantitative</t>
        </is>
      </c>
      <c r="G24" s="11" t="inlineStr">
        <is>
          <t>Score 0 to 100</t>
        </is>
      </c>
      <c r="H24" s="11" t="inlineStr">
        <is>
          <t>Higher is better</t>
        </is>
      </c>
      <c r="I24" s="11" t="inlineStr">
        <is>
          <t>WIPO</t>
        </is>
      </c>
      <c r="J24" s="11" t="inlineStr">
        <is>
          <t>https://www.wipo.int/web/global-innovation-index</t>
        </is>
      </c>
      <c r="K24" s="15" t="n"/>
      <c r="L24" s="11" t="inlineStr">
        <is>
          <t>Not checked</t>
        </is>
      </c>
      <c r="M24" s="11" t="inlineStr">
        <is>
          <t>Not checked</t>
        </is>
      </c>
      <c r="N24" s="11" t="inlineStr">
        <is>
          <t>Not checked</t>
        </is>
      </c>
      <c r="O24" s="11" t="inlineStr">
        <is>
          <t>Not checked</t>
        </is>
      </c>
      <c r="P24" s="11" t="inlineStr">
        <is>
          <t>Not checked</t>
        </is>
      </c>
      <c r="Q24" s="11" t="inlineStr">
        <is>
          <t>Not checked</t>
        </is>
      </c>
      <c r="R24" s="14">
        <f>IF(C24="","",COUNTIF(L24:Q24,"Yes"))</f>
        <v/>
      </c>
      <c r="S24" s="11" t="n"/>
      <c r="T24" s="11" t="n"/>
      <c r="U24" s="11" t="n"/>
      <c r="V24" s="14">
        <f>IF(U24="Yes",IF(R24=6,"OK","Coverage gap"),"")</f>
        <v/>
      </c>
      <c r="W24" s="11" t="inlineStr">
        <is>
          <t>Instructor</t>
        </is>
      </c>
      <c r="X24" s="11" t="n"/>
      <c r="Y24" s="15" t="n"/>
      <c r="Z24" s="11" t="inlineStr"/>
    </row>
    <row r="25" ht="40" customHeight="1">
      <c r="A25" s="14">
        <f>IF(B25="","",UPPER(LEFT(B25,2))&amp;TEXT(COUNTIF(B$2:B25,B25),"00"))</f>
        <v/>
      </c>
      <c r="B25" s="11" t="inlineStr">
        <is>
          <t>Technological</t>
        </is>
      </c>
      <c r="C25" s="11" t="inlineStr">
        <is>
          <t>Online retail and food delivery share</t>
        </is>
      </c>
      <c r="D25" s="11" t="inlineStr">
        <is>
          <t>Share of grocery or coffee sales that is made online</t>
        </is>
      </c>
      <c r="E25" s="11" t="inlineStr">
        <is>
          <t>Premium coffee segment</t>
        </is>
      </c>
      <c r="F25" s="11" t="inlineStr">
        <is>
          <t>Quantitative</t>
        </is>
      </c>
      <c r="G25" s="11" t="inlineStr">
        <is>
          <t>% of sales</t>
        </is>
      </c>
      <c r="H25" s="11" t="inlineStr">
        <is>
          <t>Higher is better</t>
        </is>
      </c>
      <c r="I25" s="11" t="inlineStr">
        <is>
          <t>Euromonitor Passport (WU library)</t>
        </is>
      </c>
      <c r="J25" s="11" t="inlineStr">
        <is>
          <t>https://www.euromonitor.com/our-expertise/passport</t>
        </is>
      </c>
      <c r="K25" s="15" t="n"/>
      <c r="L25" s="11" t="inlineStr">
        <is>
          <t>Not checked</t>
        </is>
      </c>
      <c r="M25" s="11" t="inlineStr">
        <is>
          <t>Not checked</t>
        </is>
      </c>
      <c r="N25" s="11" t="inlineStr">
        <is>
          <t>Not checked</t>
        </is>
      </c>
      <c r="O25" s="11" t="inlineStr">
        <is>
          <t>Not checked</t>
        </is>
      </c>
      <c r="P25" s="11" t="inlineStr">
        <is>
          <t>Not checked</t>
        </is>
      </c>
      <c r="Q25" s="11" t="inlineStr">
        <is>
          <t>Not checked</t>
        </is>
      </c>
      <c r="R25" s="14">
        <f>IF(C25="","",COUNTIF(L25:Q25,"Yes"))</f>
        <v/>
      </c>
      <c r="S25" s="11" t="n"/>
      <c r="T25" s="11" t="n"/>
      <c r="U25" s="11" t="n"/>
      <c r="V25" s="14">
        <f>IF(U25="Yes",IF(R25=6,"OK","Coverage gap"),"")</f>
        <v/>
      </c>
      <c r="W25" s="11" t="inlineStr">
        <is>
          <t>Instructor</t>
        </is>
      </c>
      <c r="X25" s="11" t="n"/>
      <c r="Y25" s="15" t="n"/>
      <c r="Z25" s="11" t="inlineStr">
        <is>
          <t>Check whether your category is available.</t>
        </is>
      </c>
    </row>
    <row r="26" ht="40" customHeight="1">
      <c r="A26" s="14">
        <f>IF(B26="","",UPPER(LEFT(B26,2))&amp;TEXT(COUNTIF(B$2:B26,B26),"00"))</f>
        <v/>
      </c>
      <c r="B26" s="11" t="inlineStr">
        <is>
          <t>Technological</t>
        </is>
      </c>
      <c r="C26" s="11" t="inlineStr">
        <is>
          <t>Account ownership, adults</t>
        </is>
      </c>
      <c r="D26" s="11" t="inlineStr">
        <is>
          <t>Share of adults with a bank or mobile money account</t>
        </is>
      </c>
      <c r="E26" s="11" t="inlineStr">
        <is>
          <t>Other (explain)</t>
        </is>
      </c>
      <c r="F26" s="11" t="inlineStr">
        <is>
          <t>Quantitative</t>
        </is>
      </c>
      <c r="G26" s="11" t="inlineStr">
        <is>
          <t>% of adults</t>
        </is>
      </c>
      <c r="H26" s="11" t="inlineStr">
        <is>
          <t>Higher is better</t>
        </is>
      </c>
      <c r="I26" s="11" t="inlineStr">
        <is>
          <t>Global Findex, World Bank</t>
        </is>
      </c>
      <c r="J26" s="11" t="inlineStr">
        <is>
          <t>https://www.worldbank.org/en/publication/globalfindex</t>
        </is>
      </c>
      <c r="K26" s="15" t="n"/>
      <c r="L26" s="11" t="inlineStr">
        <is>
          <t>Not checked</t>
        </is>
      </c>
      <c r="M26" s="11" t="inlineStr">
        <is>
          <t>Not checked</t>
        </is>
      </c>
      <c r="N26" s="11" t="inlineStr">
        <is>
          <t>Not checked</t>
        </is>
      </c>
      <c r="O26" s="11" t="inlineStr">
        <is>
          <t>Not checked</t>
        </is>
      </c>
      <c r="P26" s="11" t="inlineStr">
        <is>
          <t>Not checked</t>
        </is>
      </c>
      <c r="Q26" s="11" t="inlineStr">
        <is>
          <t>Not checked</t>
        </is>
      </c>
      <c r="R26" s="14">
        <f>IF(C26="","",COUNTIF(L26:Q26,"Yes"))</f>
        <v/>
      </c>
      <c r="S26" s="11" t="n"/>
      <c r="T26" s="11" t="n"/>
      <c r="U26" s="11" t="n"/>
      <c r="V26" s="14">
        <f>IF(U26="Yes",IF(R26=6,"OK","Coverage gap"),"")</f>
        <v/>
      </c>
      <c r="W26" s="11" t="inlineStr">
        <is>
          <t>Instructor</t>
        </is>
      </c>
      <c r="X26" s="11" t="n"/>
      <c r="Y26" s="15" t="n"/>
      <c r="Z26" s="11" t="inlineStr">
        <is>
          <t>Not in the instructor's background collection: check coverage and the latest edition.</t>
        </is>
      </c>
    </row>
    <row r="27" ht="40" customHeight="1">
      <c r="A27" s="14">
        <f>IF(B27="","",UPPER(LEFT(B27,2))&amp;TEXT(COUNTIF(B$2:B27,B27),"00"))</f>
        <v/>
      </c>
      <c r="B27" s="11" t="inlineStr">
        <is>
          <t>Environmental</t>
        </is>
      </c>
      <c r="C27" s="11" t="inlineStr">
        <is>
          <t>Climate vulnerability and readiness</t>
        </is>
      </c>
      <c r="D27" s="11" t="inlineStr">
        <is>
          <t>Exposure to climate change and readiness to adapt</t>
        </is>
      </c>
      <c r="E27" s="11" t="inlineStr">
        <is>
          <t>Other (explain)</t>
        </is>
      </c>
      <c r="F27" s="11" t="inlineStr">
        <is>
          <t>Quantitative</t>
        </is>
      </c>
      <c r="G27" s="11" t="inlineStr">
        <is>
          <t>Score 0 to 100</t>
        </is>
      </c>
      <c r="H27" s="11" t="inlineStr">
        <is>
          <t>Higher is better</t>
        </is>
      </c>
      <c r="I27" s="11" t="inlineStr">
        <is>
          <t>ND-GAIN Country Index</t>
        </is>
      </c>
      <c r="J27" s="11" t="inlineStr">
        <is>
          <t>https://gain.nd.edu/our-work/country-index/download-data/</t>
        </is>
      </c>
      <c r="K27" s="15" t="n"/>
      <c r="L27" s="11" t="inlineStr">
        <is>
          <t>Not checked</t>
        </is>
      </c>
      <c r="M27" s="11" t="inlineStr">
        <is>
          <t>Not checked</t>
        </is>
      </c>
      <c r="N27" s="11" t="inlineStr">
        <is>
          <t>Not checked</t>
        </is>
      </c>
      <c r="O27" s="11" t="inlineStr">
        <is>
          <t>Not checked</t>
        </is>
      </c>
      <c r="P27" s="11" t="inlineStr">
        <is>
          <t>Not checked</t>
        </is>
      </c>
      <c r="Q27" s="11" t="inlineStr">
        <is>
          <t>Not checked</t>
        </is>
      </c>
      <c r="R27" s="14">
        <f>IF(C27="","",COUNTIF(L27:Q27,"Yes"))</f>
        <v/>
      </c>
      <c r="S27" s="11" t="n"/>
      <c r="T27" s="11" t="n"/>
      <c r="U27" s="11" t="n"/>
      <c r="V27" s="14">
        <f>IF(U27="Yes",IF(R27=6,"OK","Coverage gap"),"")</f>
        <v/>
      </c>
      <c r="W27" s="11" t="inlineStr">
        <is>
          <t>Instructor</t>
        </is>
      </c>
      <c r="X27" s="11" t="n"/>
      <c r="Y27" s="15" t="n"/>
      <c r="Z27" s="11" t="inlineStr"/>
    </row>
    <row r="28" ht="40" customHeight="1">
      <c r="A28" s="14">
        <f>IF(B28="","",UPPER(LEFT(B28,2))&amp;TEXT(COUNTIF(B$2:B28,B28),"00"))</f>
        <v/>
      </c>
      <c r="B28" s="11" t="inlineStr">
        <is>
          <t>Environmental</t>
        </is>
      </c>
      <c r="C28" s="11" t="inlineStr">
        <is>
          <t>Environmental Performance Index</t>
        </is>
      </c>
      <c r="D28" s="11" t="inlineStr">
        <is>
          <t>Performance on environmental health and ecosystem vitality</t>
        </is>
      </c>
      <c r="E28" s="11" t="inlineStr">
        <is>
          <t>Other (explain)</t>
        </is>
      </c>
      <c r="F28" s="11" t="inlineStr">
        <is>
          <t>Quantitative</t>
        </is>
      </c>
      <c r="G28" s="11" t="inlineStr">
        <is>
          <t>Score 0 to 100</t>
        </is>
      </c>
      <c r="H28" s="11" t="inlineStr">
        <is>
          <t>Higher is better</t>
        </is>
      </c>
      <c r="I28" s="11" t="inlineStr">
        <is>
          <t>Yale Environmental Performance Index</t>
        </is>
      </c>
      <c r="J28" s="11" t="inlineStr">
        <is>
          <t>https://epi.yale.edu/</t>
        </is>
      </c>
      <c r="K28" s="15" t="n"/>
      <c r="L28" s="11" t="inlineStr">
        <is>
          <t>Not checked</t>
        </is>
      </c>
      <c r="M28" s="11" t="inlineStr">
        <is>
          <t>Not checked</t>
        </is>
      </c>
      <c r="N28" s="11" t="inlineStr">
        <is>
          <t>Not checked</t>
        </is>
      </c>
      <c r="O28" s="11" t="inlineStr">
        <is>
          <t>Not checked</t>
        </is>
      </c>
      <c r="P28" s="11" t="inlineStr">
        <is>
          <t>Not checked</t>
        </is>
      </c>
      <c r="Q28" s="11" t="inlineStr">
        <is>
          <t>Not checked</t>
        </is>
      </c>
      <c r="R28" s="14">
        <f>IF(C28="","",COUNTIF(L28:Q28,"Yes"))</f>
        <v/>
      </c>
      <c r="S28" s="11" t="n"/>
      <c r="T28" s="11" t="n"/>
      <c r="U28" s="11" t="n"/>
      <c r="V28" s="14">
        <f>IF(U28="Yes",IF(R28=6,"OK","Coverage gap"),"")</f>
        <v/>
      </c>
      <c r="W28" s="11" t="inlineStr">
        <is>
          <t>Instructor</t>
        </is>
      </c>
      <c r="X28" s="11" t="n"/>
      <c r="Y28" s="15" t="n"/>
      <c r="Z28" s="11" t="inlineStr">
        <is>
          <t>Not in the instructor's background collection: check coverage and the latest edition.</t>
        </is>
      </c>
    </row>
    <row r="29" ht="40" customHeight="1">
      <c r="A29" s="14">
        <f>IF(B29="","",UPPER(LEFT(B29,2))&amp;TEXT(COUNTIF(B$2:B29,B29),"00"))</f>
        <v/>
      </c>
      <c r="B29" s="11" t="inlineStr">
        <is>
          <t>Environmental</t>
        </is>
      </c>
      <c r="C29" s="11" t="inlineStr">
        <is>
          <t>Demand for certified and sustainable coffee</t>
        </is>
      </c>
      <c r="D29" s="11" t="inlineStr">
        <is>
          <t>How strongly buyers ask for certified or sustainably sourced coffee</t>
        </is>
      </c>
      <c r="E29" s="11" t="inlineStr">
        <is>
          <t>Premium coffee segment</t>
        </is>
      </c>
      <c r="F29" s="11" t="inlineStr">
        <is>
          <t>Qualitative rubric</t>
        </is>
      </c>
      <c r="G29" s="11" t="inlineStr">
        <is>
          <t>Score 1 to 5</t>
        </is>
      </c>
      <c r="H29" s="11" t="inlineStr">
        <is>
          <t>Higher is better</t>
        </is>
      </c>
      <c r="I29" s="11" t="inlineStr">
        <is>
          <t>Industry reports, certification bodies</t>
        </is>
      </c>
      <c r="J29" s="11" t="inlineStr"/>
      <c r="K29" s="15" t="n"/>
      <c r="L29" s="11" t="inlineStr">
        <is>
          <t>Not checked</t>
        </is>
      </c>
      <c r="M29" s="11" t="inlineStr">
        <is>
          <t>Not checked</t>
        </is>
      </c>
      <c r="N29" s="11" t="inlineStr">
        <is>
          <t>Not checked</t>
        </is>
      </c>
      <c r="O29" s="11" t="inlineStr">
        <is>
          <t>Not checked</t>
        </is>
      </c>
      <c r="P29" s="11" t="inlineStr">
        <is>
          <t>Not checked</t>
        </is>
      </c>
      <c r="Q29" s="11" t="inlineStr">
        <is>
          <t>Not checked</t>
        </is>
      </c>
      <c r="R29" s="14">
        <f>IF(C29="","",COUNTIF(L29:Q29,"Yes"))</f>
        <v/>
      </c>
      <c r="S29" s="11" t="n"/>
      <c r="T29" s="11" t="n"/>
      <c r="U29" s="11" t="n"/>
      <c r="V29" s="14">
        <f>IF(U29="Yes",IF(R29=6,"OK","Coverage gap"),"")</f>
        <v/>
      </c>
      <c r="W29" s="11" t="inlineStr">
        <is>
          <t>Instructor</t>
        </is>
      </c>
      <c r="X29" s="11" t="n"/>
      <c r="Y29" s="15" t="n"/>
      <c r="Z29" s="11" t="inlineStr">
        <is>
          <t>Define the score levels in the comment.</t>
        </is>
      </c>
    </row>
    <row r="30" ht="40" customHeight="1">
      <c r="A30" s="14">
        <f>IF(B30="","",UPPER(LEFT(B30,2))&amp;TEXT(COUNTIF(B$2:B30,B30),"00"))</f>
        <v/>
      </c>
      <c r="B30" s="11" t="inlineStr">
        <is>
          <t>Environmental</t>
        </is>
      </c>
      <c r="C30" s="11" t="inlineStr">
        <is>
          <t>Domestic coffee production</t>
        </is>
      </c>
      <c r="D30" s="11" t="inlineStr">
        <is>
          <t>Volume of coffee produced in the country</t>
        </is>
      </c>
      <c r="E30" s="11" t="inlineStr">
        <is>
          <t>Competitive landscape</t>
        </is>
      </c>
      <c r="F30" s="11" t="inlineStr">
        <is>
          <t>Quantitative</t>
        </is>
      </c>
      <c r="G30" s="11" t="inlineStr">
        <is>
          <t>Bags or tonnes (check the unit)</t>
        </is>
      </c>
      <c r="H30" s="11" t="inlineStr">
        <is>
          <t>Decide and explain</t>
        </is>
      </c>
      <c r="I30" s="11" t="inlineStr">
        <is>
          <t>International Coffee Organization; USDA Foreign Agricultural Service</t>
        </is>
      </c>
      <c r="J30" s="11" t="inlineStr">
        <is>
          <t>https://www.ico.org/</t>
        </is>
      </c>
      <c r="K30" s="15" t="n"/>
      <c r="L30" s="11" t="inlineStr">
        <is>
          <t>Not checked</t>
        </is>
      </c>
      <c r="M30" s="11" t="inlineStr">
        <is>
          <t>Not checked</t>
        </is>
      </c>
      <c r="N30" s="11" t="inlineStr">
        <is>
          <t>Not checked</t>
        </is>
      </c>
      <c r="O30" s="11" t="inlineStr">
        <is>
          <t>Not checked</t>
        </is>
      </c>
      <c r="P30" s="11" t="inlineStr">
        <is>
          <t>Not checked</t>
        </is>
      </c>
      <c r="Q30" s="11" t="inlineStr">
        <is>
          <t>Not checked</t>
        </is>
      </c>
      <c r="R30" s="14">
        <f>IF(C30="","",COUNTIF(L30:Q30,"Yes"))</f>
        <v/>
      </c>
      <c r="S30" s="11" t="n"/>
      <c r="T30" s="11" t="n"/>
      <c r="U30" s="11" t="n"/>
      <c r="V30" s="14">
        <f>IF(U30="Yes",IF(R30=6,"OK","Coverage gap"),"")</f>
        <v/>
      </c>
      <c r="W30" s="11" t="inlineStr">
        <is>
          <t>Instructor</t>
        </is>
      </c>
      <c r="X30" s="11" t="n"/>
      <c r="Y30" s="15" t="n"/>
      <c r="Z30" s="11" t="inlineStr">
        <is>
          <t>Large production can mean strong local roasters and low prices. Decide how you treat it and explain.</t>
        </is>
      </c>
    </row>
    <row r="31" ht="40" customHeight="1">
      <c r="A31" s="14">
        <f>IF(B31="","",UPPER(LEFT(B31,2))&amp;TEXT(COUNTIF(B$2:B31,B31),"00"))</f>
        <v/>
      </c>
      <c r="B31" s="11" t="inlineStr">
        <is>
          <t>Legal</t>
        </is>
      </c>
      <c r="C31" s="11" t="inlineStr">
        <is>
          <t>Regulatory quality</t>
        </is>
      </c>
      <c r="D31" s="11" t="inlineStr">
        <is>
          <t>Ability of the government to set and apply sound regulation</t>
        </is>
      </c>
      <c r="E31" s="11" t="inlineStr">
        <is>
          <t>Import and regulation</t>
        </is>
      </c>
      <c r="F31" s="11" t="inlineStr">
        <is>
          <t>Quantitative</t>
        </is>
      </c>
      <c r="G31" s="11" t="inlineStr">
        <is>
          <t>Estimate, about -2.5 to 2.5</t>
        </is>
      </c>
      <c r="H31" s="11" t="inlineStr">
        <is>
          <t>Higher is better</t>
        </is>
      </c>
      <c r="I31" s="11" t="inlineStr">
        <is>
          <t>Worldwide Governance Indicators, World Bank</t>
        </is>
      </c>
      <c r="J31" s="11" t="inlineStr">
        <is>
          <t>https://www.worldbank.org/en/publication/worldwide-governance-indicators</t>
        </is>
      </c>
      <c r="K31" s="15" t="n"/>
      <c r="L31" s="11" t="inlineStr">
        <is>
          <t>Not checked</t>
        </is>
      </c>
      <c r="M31" s="11" t="inlineStr">
        <is>
          <t>Not checked</t>
        </is>
      </c>
      <c r="N31" s="11" t="inlineStr">
        <is>
          <t>Not checked</t>
        </is>
      </c>
      <c r="O31" s="11" t="inlineStr">
        <is>
          <t>Not checked</t>
        </is>
      </c>
      <c r="P31" s="11" t="inlineStr">
        <is>
          <t>Not checked</t>
        </is>
      </c>
      <c r="Q31" s="11" t="inlineStr">
        <is>
          <t>Not checked</t>
        </is>
      </c>
      <c r="R31" s="14">
        <f>IF(C31="","",COUNTIF(L31:Q31,"Yes"))</f>
        <v/>
      </c>
      <c r="S31" s="11" t="n"/>
      <c r="T31" s="11" t="n"/>
      <c r="U31" s="11" t="n"/>
      <c r="V31" s="14">
        <f>IF(U31="Yes",IF(R31=6,"OK","Coverage gap"),"")</f>
        <v/>
      </c>
      <c r="W31" s="11" t="inlineStr">
        <is>
          <t>Instructor</t>
        </is>
      </c>
      <c r="X31" s="11" t="n"/>
      <c r="Y31" s="15" t="n"/>
      <c r="Z31" s="11" t="inlineStr"/>
    </row>
    <row r="32" ht="40" customHeight="1">
      <c r="A32" s="14">
        <f>IF(B32="","",UPPER(LEFT(B32,2))&amp;TEXT(COUNTIF(B$2:B32,B32),"00"))</f>
        <v/>
      </c>
      <c r="B32" s="11" t="inlineStr">
        <is>
          <t>Legal</t>
        </is>
      </c>
      <c r="C32" s="11" t="inlineStr">
        <is>
          <t>Rule of law</t>
        </is>
      </c>
      <c r="D32" s="11" t="inlineStr">
        <is>
          <t>Confidence in contract enforcement, property rights and the courts</t>
        </is>
      </c>
      <c r="E32" s="11" t="inlineStr">
        <is>
          <t>Import and regulation</t>
        </is>
      </c>
      <c r="F32" s="11" t="inlineStr">
        <is>
          <t>Quantitative</t>
        </is>
      </c>
      <c r="G32" s="11" t="inlineStr">
        <is>
          <t>Estimate, about -2.5 to 2.5</t>
        </is>
      </c>
      <c r="H32" s="11" t="inlineStr">
        <is>
          <t>Higher is better</t>
        </is>
      </c>
      <c r="I32" s="11" t="inlineStr">
        <is>
          <t>Worldwide Governance Indicators, World Bank</t>
        </is>
      </c>
      <c r="J32" s="11" t="inlineStr">
        <is>
          <t>https://www.worldbank.org/en/publication/worldwide-governance-indicators</t>
        </is>
      </c>
      <c r="K32" s="15" t="n"/>
      <c r="L32" s="11" t="inlineStr">
        <is>
          <t>Not checked</t>
        </is>
      </c>
      <c r="M32" s="11" t="inlineStr">
        <is>
          <t>Not checked</t>
        </is>
      </c>
      <c r="N32" s="11" t="inlineStr">
        <is>
          <t>Not checked</t>
        </is>
      </c>
      <c r="O32" s="11" t="inlineStr">
        <is>
          <t>Not checked</t>
        </is>
      </c>
      <c r="P32" s="11" t="inlineStr">
        <is>
          <t>Not checked</t>
        </is>
      </c>
      <c r="Q32" s="11" t="inlineStr">
        <is>
          <t>Not checked</t>
        </is>
      </c>
      <c r="R32" s="14">
        <f>IF(C32="","",COUNTIF(L32:Q32,"Yes"))</f>
        <v/>
      </c>
      <c r="S32" s="11" t="n"/>
      <c r="T32" s="11" t="n"/>
      <c r="U32" s="11" t="n"/>
      <c r="V32" s="14">
        <f>IF(U32="Yes",IF(R32=6,"OK","Coverage gap"),"")</f>
        <v/>
      </c>
      <c r="W32" s="11" t="inlineStr">
        <is>
          <t>Instructor</t>
        </is>
      </c>
      <c r="X32" s="11" t="n"/>
      <c r="Y32" s="15" t="n"/>
      <c r="Z32" s="11" t="inlineStr">
        <is>
          <t>Matters for contracts with a local partner.</t>
        </is>
      </c>
    </row>
    <row r="33" ht="40" customHeight="1">
      <c r="A33" s="14">
        <f>IF(B33="","",UPPER(LEFT(B33,2))&amp;TEXT(COUNTIF(B$2:B33,B33),"00"))</f>
        <v/>
      </c>
      <c r="B33" s="11" t="inlineStr">
        <is>
          <t>Legal</t>
        </is>
      </c>
      <c r="C33" s="11" t="inlineStr">
        <is>
          <t>Product, labelling and certification requirements for coffee</t>
        </is>
      </c>
      <c r="D33" s="11" t="inlineStr">
        <is>
          <t>Rules that apply to roasted coffee imported from the EU</t>
        </is>
      </c>
      <c r="E33" s="11" t="inlineStr">
        <is>
          <t>Import and regulation</t>
        </is>
      </c>
      <c r="F33" s="11" t="inlineStr">
        <is>
          <t>Qualitative rubric</t>
        </is>
      </c>
      <c r="G33" s="11" t="inlineStr">
        <is>
          <t>Score 1 to 5 (5 = few barriers)</t>
        </is>
      </c>
      <c r="H33" s="11" t="inlineStr">
        <is>
          <t>Higher is better</t>
        </is>
      </c>
      <c r="I33" s="11" t="inlineStr">
        <is>
          <t>EU Access2Markets</t>
        </is>
      </c>
      <c r="J33" s="11" t="inlineStr">
        <is>
          <t>https://trade.ec.europa.eu/access-to-markets/en/content/what-access2markets-0</t>
        </is>
      </c>
      <c r="K33" s="15" t="n"/>
      <c r="L33" s="11" t="inlineStr">
        <is>
          <t>Not checked</t>
        </is>
      </c>
      <c r="M33" s="11" t="inlineStr">
        <is>
          <t>Not checked</t>
        </is>
      </c>
      <c r="N33" s="11" t="inlineStr">
        <is>
          <t>Not checked</t>
        </is>
      </c>
      <c r="O33" s="11" t="inlineStr">
        <is>
          <t>Not checked</t>
        </is>
      </c>
      <c r="P33" s="11" t="inlineStr">
        <is>
          <t>Not checked</t>
        </is>
      </c>
      <c r="Q33" s="11" t="inlineStr">
        <is>
          <t>Not checked</t>
        </is>
      </c>
      <c r="R33" s="14">
        <f>IF(C33="","",COUNTIF(L33:Q33,"Yes"))</f>
        <v/>
      </c>
      <c r="S33" s="11" t="n"/>
      <c r="T33" s="11" t="n"/>
      <c r="U33" s="11" t="n"/>
      <c r="V33" s="14">
        <f>IF(U33="Yes",IF(R33=6,"OK","Coverage gap"),"")</f>
        <v/>
      </c>
      <c r="W33" s="11" t="inlineStr">
        <is>
          <t>Instructor</t>
        </is>
      </c>
      <c r="X33" s="11" t="n"/>
      <c r="Y33" s="15" t="n"/>
      <c r="Z33" s="11" t="inlineStr"/>
    </row>
    <row r="34" ht="40" customHeight="1">
      <c r="A34" s="14">
        <f>IF(B34="","",UPPER(LEFT(B34,2))&amp;TEXT(COUNTIF(B$2:B34,B34),"00"))</f>
        <v/>
      </c>
      <c r="B34" s="11" t="inlineStr">
        <is>
          <t>Legal</t>
        </is>
      </c>
      <c r="C34" s="11" t="inlineStr">
        <is>
          <t>Trademark protection</t>
        </is>
      </c>
      <c r="D34" s="11" t="inlineStr">
        <is>
          <t>Ease and reliability of registering and protecting a brand</t>
        </is>
      </c>
      <c r="E34" s="11" t="inlineStr">
        <is>
          <t>Other (explain)</t>
        </is>
      </c>
      <c r="F34" s="11" t="inlineStr">
        <is>
          <t>Qualitative rubric</t>
        </is>
      </c>
      <c r="G34" s="11" t="inlineStr">
        <is>
          <t>Score 1 to 5</t>
        </is>
      </c>
      <c r="H34" s="11" t="inlineStr">
        <is>
          <t>Higher is better</t>
        </is>
      </c>
      <c r="I34" s="11" t="inlineStr">
        <is>
          <t>National trademark offices; WIPO</t>
        </is>
      </c>
      <c r="J34" s="11" t="inlineStr">
        <is>
          <t>https://www.wipo.int/</t>
        </is>
      </c>
      <c r="K34" s="15" t="n"/>
      <c r="L34" s="11" t="inlineStr">
        <is>
          <t>Not checked</t>
        </is>
      </c>
      <c r="M34" s="11" t="inlineStr">
        <is>
          <t>Not checked</t>
        </is>
      </c>
      <c r="N34" s="11" t="inlineStr">
        <is>
          <t>Not checked</t>
        </is>
      </c>
      <c r="O34" s="11" t="inlineStr">
        <is>
          <t>Not checked</t>
        </is>
      </c>
      <c r="P34" s="11" t="inlineStr">
        <is>
          <t>Not checked</t>
        </is>
      </c>
      <c r="Q34" s="11" t="inlineStr">
        <is>
          <t>Not checked</t>
        </is>
      </c>
      <c r="R34" s="14">
        <f>IF(C34="","",COUNTIF(L34:Q34,"Yes"))</f>
        <v/>
      </c>
      <c r="S34" s="11" t="n"/>
      <c r="T34" s="11" t="n"/>
      <c r="U34" s="11" t="n"/>
      <c r="V34" s="14">
        <f>IF(U34="Yes",IF(R34=6,"OK","Coverage gap"),"")</f>
        <v/>
      </c>
      <c r="W34" s="11" t="inlineStr">
        <is>
          <t>Instructor</t>
        </is>
      </c>
      <c r="X34" s="11" t="n"/>
      <c r="Y34" s="15" t="n"/>
      <c r="Z34" s="11" t="inlineStr">
        <is>
          <t>Name the national office you used for each country.</t>
        </is>
      </c>
    </row>
    <row r="35" ht="40" customHeight="1">
      <c r="A35" s="14">
        <f>IF(B35="","",UPPER(LEFT(B35,2))&amp;TEXT(COUNTIF(B$2:B35,B35),"00"))</f>
        <v/>
      </c>
      <c r="B35" s="11" t="inlineStr">
        <is>
          <t>Legal</t>
        </is>
      </c>
      <c r="C35" s="11" t="inlineStr">
        <is>
          <t>Rules for ending a distribution agreement</t>
        </is>
      </c>
      <c r="D35" s="11" t="inlineStr">
        <is>
          <t>Legal protection of local distributors and the cost of ending a contract</t>
        </is>
      </c>
      <c r="E35" s="11" t="inlineStr">
        <is>
          <t>Other (explain)</t>
        </is>
      </c>
      <c r="F35" s="11" t="inlineStr">
        <is>
          <t>Qualitative rubric</t>
        </is>
      </c>
      <c r="G35" s="11" t="inlineStr">
        <is>
          <t>Score 1 to 5</t>
        </is>
      </c>
      <c r="H35" s="11" t="inlineStr">
        <is>
          <t>Decide and explain</t>
        </is>
      </c>
      <c r="I35" s="11" t="inlineStr">
        <is>
          <t>Law firm guides; national law</t>
        </is>
      </c>
      <c r="J35" s="11" t="inlineStr"/>
      <c r="K35" s="15" t="n"/>
      <c r="L35" s="11" t="inlineStr">
        <is>
          <t>Not checked</t>
        </is>
      </c>
      <c r="M35" s="11" t="inlineStr">
        <is>
          <t>Not checked</t>
        </is>
      </c>
      <c r="N35" s="11" t="inlineStr">
        <is>
          <t>Not checked</t>
        </is>
      </c>
      <c r="O35" s="11" t="inlineStr">
        <is>
          <t>Not checked</t>
        </is>
      </c>
      <c r="P35" s="11" t="inlineStr">
        <is>
          <t>Not checked</t>
        </is>
      </c>
      <c r="Q35" s="11" t="inlineStr">
        <is>
          <t>Not checked</t>
        </is>
      </c>
      <c r="R35" s="14">
        <f>IF(C35="","",COUNTIF(L35:Q35,"Yes"))</f>
        <v/>
      </c>
      <c r="S35" s="11" t="n"/>
      <c r="T35" s="11" t="n"/>
      <c r="U35" s="11" t="n"/>
      <c r="V35" s="14">
        <f>IF(U35="Yes",IF(R35=6,"OK","Coverage gap"),"")</f>
        <v/>
      </c>
      <c r="W35" s="11" t="inlineStr">
        <is>
          <t>Instructor</t>
        </is>
      </c>
      <c r="X35" s="11" t="n"/>
      <c r="Y35" s="15" t="n"/>
      <c r="Z35" s="11" t="inlineStr">
        <is>
          <t>Relevant for the local partner model. Strong protection can make an exit expensive.</t>
        </is>
      </c>
    </row>
    <row r="36" ht="40" customHeight="1">
      <c r="A36" s="14">
        <f>IF(B36="","",UPPER(LEFT(B36,2))&amp;TEXT(COUNTIF(B$2:B36,B36),"00"))</f>
        <v/>
      </c>
      <c r="B36" s="11" t="inlineStr">
        <is>
          <t>Legal</t>
        </is>
      </c>
      <c r="C36" s="11" t="inlineStr">
        <is>
          <t>Ease of doing business (Business Ready)</t>
        </is>
      </c>
      <c r="D36" s="11" t="inlineStr">
        <is>
          <t>Scores on topics such as business entry, trade and taxation</t>
        </is>
      </c>
      <c r="E36" s="11" t="inlineStr">
        <is>
          <t>Import and regulation</t>
        </is>
      </c>
      <c r="F36" s="11" t="inlineStr">
        <is>
          <t>Quantitative</t>
        </is>
      </c>
      <c r="G36" s="11" t="inlineStr">
        <is>
          <t>Score 0 to 100</t>
        </is>
      </c>
      <c r="H36" s="11" t="inlineStr">
        <is>
          <t>Higher is better</t>
        </is>
      </c>
      <c r="I36" s="11" t="inlineStr">
        <is>
          <t>Business Ready, World Bank</t>
        </is>
      </c>
      <c r="J36" s="11" t="inlineStr">
        <is>
          <t>https://www.worldbank.org/en/businessready/publications-2024</t>
        </is>
      </c>
      <c r="K36" s="15" t="n"/>
      <c r="L36" s="11" t="inlineStr">
        <is>
          <t>Not checked</t>
        </is>
      </c>
      <c r="M36" s="11" t="inlineStr">
        <is>
          <t>Not checked</t>
        </is>
      </c>
      <c r="N36" s="11" t="inlineStr">
        <is>
          <t>Not checked</t>
        </is>
      </c>
      <c r="O36" s="11" t="inlineStr">
        <is>
          <t>Not checked</t>
        </is>
      </c>
      <c r="P36" s="11" t="inlineStr">
        <is>
          <t>Not checked</t>
        </is>
      </c>
      <c r="Q36" s="11" t="inlineStr">
        <is>
          <t>Not checked</t>
        </is>
      </c>
      <c r="R36" s="14">
        <f>IF(C36="","",COUNTIF(L36:Q36,"Yes"))</f>
        <v/>
      </c>
      <c r="S36" s="11" t="n"/>
      <c r="T36" s="11" t="n"/>
      <c r="U36" s="11" t="n"/>
      <c r="V36" s="14">
        <f>IF(U36="Yes",IF(R36=6,"OK","Coverage gap"),"")</f>
        <v/>
      </c>
      <c r="W36" s="11" t="inlineStr">
        <is>
          <t>Instructor</t>
        </is>
      </c>
      <c r="X36" s="11" t="n"/>
      <c r="Y36" s="15" t="n"/>
      <c r="Z36" s="11" t="inlineStr">
        <is>
          <t>Coverage was limited to 50 economies in 2024: check all six countries.</t>
        </is>
      </c>
    </row>
    <row r="37" ht="18" customHeight="1">
      <c r="A37" s="14">
        <f>IF(B37="","",UPPER(LEFT(B37,2))&amp;TEXT(COUNTIF(B$2:B37,B37),"00"))</f>
        <v/>
      </c>
      <c r="B37" s="11" t="n"/>
      <c r="C37" s="11" t="n"/>
      <c r="D37" s="11" t="n"/>
      <c r="E37" s="11" t="n"/>
      <c r="F37" s="11" t="n"/>
      <c r="G37" s="11" t="n"/>
      <c r="H37" s="11" t="n"/>
      <c r="I37" s="11" t="n"/>
      <c r="J37" s="11" t="n"/>
      <c r="K37" s="15" t="n"/>
      <c r="L37" s="11" t="n"/>
      <c r="M37" s="11" t="n"/>
      <c r="N37" s="11" t="n"/>
      <c r="O37" s="11" t="n"/>
      <c r="P37" s="11" t="n"/>
      <c r="Q37" s="11" t="n"/>
      <c r="R37" s="14">
        <f>IF(C37="","",COUNTIF(L37:Q37,"Yes"))</f>
        <v/>
      </c>
      <c r="S37" s="11" t="n"/>
      <c r="T37" s="11" t="n"/>
      <c r="U37" s="11" t="n"/>
      <c r="V37" s="14">
        <f>IF(U37="Yes",IF(R37=6,"OK","Coverage gap"),"")</f>
        <v/>
      </c>
      <c r="W37" s="11" t="n"/>
      <c r="X37" s="11" t="n"/>
      <c r="Y37" s="15" t="n"/>
      <c r="Z37" s="11" t="n"/>
    </row>
    <row r="38" ht="18" customHeight="1">
      <c r="A38" s="14">
        <f>IF(B38="","",UPPER(LEFT(B38,2))&amp;TEXT(COUNTIF(B$2:B38,B38),"00"))</f>
        <v/>
      </c>
      <c r="B38" s="11" t="n"/>
      <c r="C38" s="11" t="n"/>
      <c r="D38" s="11" t="n"/>
      <c r="E38" s="11" t="n"/>
      <c r="F38" s="11" t="n"/>
      <c r="G38" s="11" t="n"/>
      <c r="H38" s="11" t="n"/>
      <c r="I38" s="11" t="n"/>
      <c r="J38" s="11" t="n"/>
      <c r="K38" s="15" t="n"/>
      <c r="L38" s="11" t="n"/>
      <c r="M38" s="11" t="n"/>
      <c r="N38" s="11" t="n"/>
      <c r="O38" s="11" t="n"/>
      <c r="P38" s="11" t="n"/>
      <c r="Q38" s="11" t="n"/>
      <c r="R38" s="14">
        <f>IF(C38="","",COUNTIF(L38:Q38,"Yes"))</f>
        <v/>
      </c>
      <c r="S38" s="11" t="n"/>
      <c r="T38" s="11" t="n"/>
      <c r="U38" s="11" t="n"/>
      <c r="V38" s="14">
        <f>IF(U38="Yes",IF(R38=6,"OK","Coverage gap"),"")</f>
        <v/>
      </c>
      <c r="W38" s="11" t="n"/>
      <c r="X38" s="11" t="n"/>
      <c r="Y38" s="15" t="n"/>
      <c r="Z38" s="11" t="n"/>
    </row>
    <row r="39" ht="18" customHeight="1">
      <c r="A39" s="14">
        <f>IF(B39="","",UPPER(LEFT(B39,2))&amp;TEXT(COUNTIF(B$2:B39,B39),"00"))</f>
        <v/>
      </c>
      <c r="B39" s="11" t="n"/>
      <c r="C39" s="11" t="n"/>
      <c r="D39" s="11" t="n"/>
      <c r="E39" s="11" t="n"/>
      <c r="F39" s="11" t="n"/>
      <c r="G39" s="11" t="n"/>
      <c r="H39" s="11" t="n"/>
      <c r="I39" s="11" t="n"/>
      <c r="J39" s="11" t="n"/>
      <c r="K39" s="15" t="n"/>
      <c r="L39" s="11" t="n"/>
      <c r="M39" s="11" t="n"/>
      <c r="N39" s="11" t="n"/>
      <c r="O39" s="11" t="n"/>
      <c r="P39" s="11" t="n"/>
      <c r="Q39" s="11" t="n"/>
      <c r="R39" s="14">
        <f>IF(C39="","",COUNTIF(L39:Q39,"Yes"))</f>
        <v/>
      </c>
      <c r="S39" s="11" t="n"/>
      <c r="T39" s="11" t="n"/>
      <c r="U39" s="11" t="n"/>
      <c r="V39" s="14">
        <f>IF(U39="Yes",IF(R39=6,"OK","Coverage gap"),"")</f>
        <v/>
      </c>
      <c r="W39" s="11" t="n"/>
      <c r="X39" s="11" t="n"/>
      <c r="Y39" s="15" t="n"/>
      <c r="Z39" s="11" t="n"/>
    </row>
    <row r="40" ht="18" customHeight="1">
      <c r="A40" s="14">
        <f>IF(B40="","",UPPER(LEFT(B40,2))&amp;TEXT(COUNTIF(B$2:B40,B40),"00"))</f>
        <v/>
      </c>
      <c r="B40" s="11" t="n"/>
      <c r="C40" s="11" t="n"/>
      <c r="D40" s="11" t="n"/>
      <c r="E40" s="11" t="n"/>
      <c r="F40" s="11" t="n"/>
      <c r="G40" s="11" t="n"/>
      <c r="H40" s="11" t="n"/>
      <c r="I40" s="11" t="n"/>
      <c r="J40" s="11" t="n"/>
      <c r="K40" s="15" t="n"/>
      <c r="L40" s="11" t="n"/>
      <c r="M40" s="11" t="n"/>
      <c r="N40" s="11" t="n"/>
      <c r="O40" s="11" t="n"/>
      <c r="P40" s="11" t="n"/>
      <c r="Q40" s="11" t="n"/>
      <c r="R40" s="14">
        <f>IF(C40="","",COUNTIF(L40:Q40,"Yes"))</f>
        <v/>
      </c>
      <c r="S40" s="11" t="n"/>
      <c r="T40" s="11" t="n"/>
      <c r="U40" s="11" t="n"/>
      <c r="V40" s="14">
        <f>IF(U40="Yes",IF(R40=6,"OK","Coverage gap"),"")</f>
        <v/>
      </c>
      <c r="W40" s="11" t="n"/>
      <c r="X40" s="11" t="n"/>
      <c r="Y40" s="15" t="n"/>
      <c r="Z40" s="11" t="n"/>
    </row>
    <row r="41" ht="18" customHeight="1">
      <c r="A41" s="14">
        <f>IF(B41="","",UPPER(LEFT(B41,2))&amp;TEXT(COUNTIF(B$2:B41,B41),"00"))</f>
        <v/>
      </c>
      <c r="B41" s="11" t="n"/>
      <c r="C41" s="11" t="n"/>
      <c r="D41" s="11" t="n"/>
      <c r="E41" s="11" t="n"/>
      <c r="F41" s="11" t="n"/>
      <c r="G41" s="11" t="n"/>
      <c r="H41" s="11" t="n"/>
      <c r="I41" s="11" t="n"/>
      <c r="J41" s="11" t="n"/>
      <c r="K41" s="15" t="n"/>
      <c r="L41" s="11" t="n"/>
      <c r="M41" s="11" t="n"/>
      <c r="N41" s="11" t="n"/>
      <c r="O41" s="11" t="n"/>
      <c r="P41" s="11" t="n"/>
      <c r="Q41" s="11" t="n"/>
      <c r="R41" s="14">
        <f>IF(C41="","",COUNTIF(L41:Q41,"Yes"))</f>
        <v/>
      </c>
      <c r="S41" s="11" t="n"/>
      <c r="T41" s="11" t="n"/>
      <c r="U41" s="11" t="n"/>
      <c r="V41" s="14">
        <f>IF(U41="Yes",IF(R41=6,"OK","Coverage gap"),"")</f>
        <v/>
      </c>
      <c r="W41" s="11" t="n"/>
      <c r="X41" s="11" t="n"/>
      <c r="Y41" s="15" t="n"/>
      <c r="Z41" s="11" t="n"/>
    </row>
    <row r="42" ht="18" customHeight="1">
      <c r="A42" s="14">
        <f>IF(B42="","",UPPER(LEFT(B42,2))&amp;TEXT(COUNTIF(B$2:B42,B42),"00"))</f>
        <v/>
      </c>
      <c r="B42" s="11" t="n"/>
      <c r="C42" s="11" t="n"/>
      <c r="D42" s="11" t="n"/>
      <c r="E42" s="11" t="n"/>
      <c r="F42" s="11" t="n"/>
      <c r="G42" s="11" t="n"/>
      <c r="H42" s="11" t="n"/>
      <c r="I42" s="11" t="n"/>
      <c r="J42" s="11" t="n"/>
      <c r="K42" s="15" t="n"/>
      <c r="L42" s="11" t="n"/>
      <c r="M42" s="11" t="n"/>
      <c r="N42" s="11" t="n"/>
      <c r="O42" s="11" t="n"/>
      <c r="P42" s="11" t="n"/>
      <c r="Q42" s="11" t="n"/>
      <c r="R42" s="14">
        <f>IF(C42="","",COUNTIF(L42:Q42,"Yes"))</f>
        <v/>
      </c>
      <c r="S42" s="11" t="n"/>
      <c r="T42" s="11" t="n"/>
      <c r="U42" s="11" t="n"/>
      <c r="V42" s="14">
        <f>IF(U42="Yes",IF(R42=6,"OK","Coverage gap"),"")</f>
        <v/>
      </c>
      <c r="W42" s="11" t="n"/>
      <c r="X42" s="11" t="n"/>
      <c r="Y42" s="15" t="n"/>
      <c r="Z42" s="11" t="n"/>
    </row>
    <row r="43" ht="18" customHeight="1">
      <c r="A43" s="14">
        <f>IF(B43="","",UPPER(LEFT(B43,2))&amp;TEXT(COUNTIF(B$2:B43,B43),"00"))</f>
        <v/>
      </c>
      <c r="B43" s="11" t="n"/>
      <c r="C43" s="11" t="n"/>
      <c r="D43" s="11" t="n"/>
      <c r="E43" s="11" t="n"/>
      <c r="F43" s="11" t="n"/>
      <c r="G43" s="11" t="n"/>
      <c r="H43" s="11" t="n"/>
      <c r="I43" s="11" t="n"/>
      <c r="J43" s="11" t="n"/>
      <c r="K43" s="15" t="n"/>
      <c r="L43" s="11" t="n"/>
      <c r="M43" s="11" t="n"/>
      <c r="N43" s="11" t="n"/>
      <c r="O43" s="11" t="n"/>
      <c r="P43" s="11" t="n"/>
      <c r="Q43" s="11" t="n"/>
      <c r="R43" s="14">
        <f>IF(C43="","",COUNTIF(L43:Q43,"Yes"))</f>
        <v/>
      </c>
      <c r="S43" s="11" t="n"/>
      <c r="T43" s="11" t="n"/>
      <c r="U43" s="11" t="n"/>
      <c r="V43" s="14">
        <f>IF(U43="Yes",IF(R43=6,"OK","Coverage gap"),"")</f>
        <v/>
      </c>
      <c r="W43" s="11" t="n"/>
      <c r="X43" s="11" t="n"/>
      <c r="Y43" s="15" t="n"/>
      <c r="Z43" s="11" t="n"/>
    </row>
    <row r="44" ht="18" customHeight="1">
      <c r="A44" s="14">
        <f>IF(B44="","",UPPER(LEFT(B44,2))&amp;TEXT(COUNTIF(B$2:B44,B44),"00"))</f>
        <v/>
      </c>
      <c r="B44" s="11" t="n"/>
      <c r="C44" s="11" t="n"/>
      <c r="D44" s="11" t="n"/>
      <c r="E44" s="11" t="n"/>
      <c r="F44" s="11" t="n"/>
      <c r="G44" s="11" t="n"/>
      <c r="H44" s="11" t="n"/>
      <c r="I44" s="11" t="n"/>
      <c r="J44" s="11" t="n"/>
      <c r="K44" s="15" t="n"/>
      <c r="L44" s="11" t="n"/>
      <c r="M44" s="11" t="n"/>
      <c r="N44" s="11" t="n"/>
      <c r="O44" s="11" t="n"/>
      <c r="P44" s="11" t="n"/>
      <c r="Q44" s="11" t="n"/>
      <c r="R44" s="14">
        <f>IF(C44="","",COUNTIF(L44:Q44,"Yes"))</f>
        <v/>
      </c>
      <c r="S44" s="11" t="n"/>
      <c r="T44" s="11" t="n"/>
      <c r="U44" s="11" t="n"/>
      <c r="V44" s="14">
        <f>IF(U44="Yes",IF(R44=6,"OK","Coverage gap"),"")</f>
        <v/>
      </c>
      <c r="W44" s="11" t="n"/>
      <c r="X44" s="11" t="n"/>
      <c r="Y44" s="15" t="n"/>
      <c r="Z44" s="11" t="n"/>
    </row>
    <row r="45" ht="18" customHeight="1">
      <c r="A45" s="14">
        <f>IF(B45="","",UPPER(LEFT(B45,2))&amp;TEXT(COUNTIF(B$2:B45,B45),"00"))</f>
        <v/>
      </c>
      <c r="B45" s="11" t="n"/>
      <c r="C45" s="11" t="n"/>
      <c r="D45" s="11" t="n"/>
      <c r="E45" s="11" t="n"/>
      <c r="F45" s="11" t="n"/>
      <c r="G45" s="11" t="n"/>
      <c r="H45" s="11" t="n"/>
      <c r="I45" s="11" t="n"/>
      <c r="J45" s="11" t="n"/>
      <c r="K45" s="15" t="n"/>
      <c r="L45" s="11" t="n"/>
      <c r="M45" s="11" t="n"/>
      <c r="N45" s="11" t="n"/>
      <c r="O45" s="11" t="n"/>
      <c r="P45" s="11" t="n"/>
      <c r="Q45" s="11" t="n"/>
      <c r="R45" s="14">
        <f>IF(C45="","",COUNTIF(L45:Q45,"Yes"))</f>
        <v/>
      </c>
      <c r="S45" s="11" t="n"/>
      <c r="T45" s="11" t="n"/>
      <c r="U45" s="11" t="n"/>
      <c r="V45" s="14">
        <f>IF(U45="Yes",IF(R45=6,"OK","Coverage gap"),"")</f>
        <v/>
      </c>
      <c r="W45" s="11" t="n"/>
      <c r="X45" s="11" t="n"/>
      <c r="Y45" s="15" t="n"/>
      <c r="Z45" s="11" t="n"/>
    </row>
    <row r="46" ht="18" customHeight="1">
      <c r="A46" s="14">
        <f>IF(B46="","",UPPER(LEFT(B46,2))&amp;TEXT(COUNTIF(B$2:B46,B46),"00"))</f>
        <v/>
      </c>
      <c r="B46" s="11" t="n"/>
      <c r="C46" s="11" t="n"/>
      <c r="D46" s="11" t="n"/>
      <c r="E46" s="11" t="n"/>
      <c r="F46" s="11" t="n"/>
      <c r="G46" s="11" t="n"/>
      <c r="H46" s="11" t="n"/>
      <c r="I46" s="11" t="n"/>
      <c r="J46" s="11" t="n"/>
      <c r="K46" s="15" t="n"/>
      <c r="L46" s="11" t="n"/>
      <c r="M46" s="11" t="n"/>
      <c r="N46" s="11" t="n"/>
      <c r="O46" s="11" t="n"/>
      <c r="P46" s="11" t="n"/>
      <c r="Q46" s="11" t="n"/>
      <c r="R46" s="14">
        <f>IF(C46="","",COUNTIF(L46:Q46,"Yes"))</f>
        <v/>
      </c>
      <c r="S46" s="11" t="n"/>
      <c r="T46" s="11" t="n"/>
      <c r="U46" s="11" t="n"/>
      <c r="V46" s="14">
        <f>IF(U46="Yes",IF(R46=6,"OK","Coverage gap"),"")</f>
        <v/>
      </c>
      <c r="W46" s="11" t="n"/>
      <c r="X46" s="11" t="n"/>
      <c r="Y46" s="15" t="n"/>
      <c r="Z46" s="11" t="n"/>
    </row>
    <row r="47" ht="18" customHeight="1">
      <c r="A47" s="14">
        <f>IF(B47="","",UPPER(LEFT(B47,2))&amp;TEXT(COUNTIF(B$2:B47,B47),"00"))</f>
        <v/>
      </c>
      <c r="B47" s="11" t="n"/>
      <c r="C47" s="11" t="n"/>
      <c r="D47" s="11" t="n"/>
      <c r="E47" s="11" t="n"/>
      <c r="F47" s="11" t="n"/>
      <c r="G47" s="11" t="n"/>
      <c r="H47" s="11" t="n"/>
      <c r="I47" s="11" t="n"/>
      <c r="J47" s="11" t="n"/>
      <c r="K47" s="15" t="n"/>
      <c r="L47" s="11" t="n"/>
      <c r="M47" s="11" t="n"/>
      <c r="N47" s="11" t="n"/>
      <c r="O47" s="11" t="n"/>
      <c r="P47" s="11" t="n"/>
      <c r="Q47" s="11" t="n"/>
      <c r="R47" s="14">
        <f>IF(C47="","",COUNTIF(L47:Q47,"Yes"))</f>
        <v/>
      </c>
      <c r="S47" s="11" t="n"/>
      <c r="T47" s="11" t="n"/>
      <c r="U47" s="11" t="n"/>
      <c r="V47" s="14">
        <f>IF(U47="Yes",IF(R47=6,"OK","Coverage gap"),"")</f>
        <v/>
      </c>
      <c r="W47" s="11" t="n"/>
      <c r="X47" s="11" t="n"/>
      <c r="Y47" s="15" t="n"/>
      <c r="Z47" s="11" t="n"/>
    </row>
    <row r="48" ht="18" customHeight="1">
      <c r="A48" s="14">
        <f>IF(B48="","",UPPER(LEFT(B48,2))&amp;TEXT(COUNTIF(B$2:B48,B48),"00"))</f>
        <v/>
      </c>
      <c r="B48" s="11" t="n"/>
      <c r="C48" s="11" t="n"/>
      <c r="D48" s="11" t="n"/>
      <c r="E48" s="11" t="n"/>
      <c r="F48" s="11" t="n"/>
      <c r="G48" s="11" t="n"/>
      <c r="H48" s="11" t="n"/>
      <c r="I48" s="11" t="n"/>
      <c r="J48" s="11" t="n"/>
      <c r="K48" s="15" t="n"/>
      <c r="L48" s="11" t="n"/>
      <c r="M48" s="11" t="n"/>
      <c r="N48" s="11" t="n"/>
      <c r="O48" s="11" t="n"/>
      <c r="P48" s="11" t="n"/>
      <c r="Q48" s="11" t="n"/>
      <c r="R48" s="14">
        <f>IF(C48="","",COUNTIF(L48:Q48,"Yes"))</f>
        <v/>
      </c>
      <c r="S48" s="11" t="n"/>
      <c r="T48" s="11" t="n"/>
      <c r="U48" s="11" t="n"/>
      <c r="V48" s="14">
        <f>IF(U48="Yes",IF(R48=6,"OK","Coverage gap"),"")</f>
        <v/>
      </c>
      <c r="W48" s="11" t="n"/>
      <c r="X48" s="11" t="n"/>
      <c r="Y48" s="15" t="n"/>
      <c r="Z48" s="11" t="n"/>
    </row>
    <row r="49" ht="18" customHeight="1">
      <c r="A49" s="14">
        <f>IF(B49="","",UPPER(LEFT(B49,2))&amp;TEXT(COUNTIF(B$2:B49,B49),"00"))</f>
        <v/>
      </c>
      <c r="B49" s="11" t="n"/>
      <c r="C49" s="11" t="n"/>
      <c r="D49" s="11" t="n"/>
      <c r="E49" s="11" t="n"/>
      <c r="F49" s="11" t="n"/>
      <c r="G49" s="11" t="n"/>
      <c r="H49" s="11" t="n"/>
      <c r="I49" s="11" t="n"/>
      <c r="J49" s="11" t="n"/>
      <c r="K49" s="15" t="n"/>
      <c r="L49" s="11" t="n"/>
      <c r="M49" s="11" t="n"/>
      <c r="N49" s="11" t="n"/>
      <c r="O49" s="11" t="n"/>
      <c r="P49" s="11" t="n"/>
      <c r="Q49" s="11" t="n"/>
      <c r="R49" s="14">
        <f>IF(C49="","",COUNTIF(L49:Q49,"Yes"))</f>
        <v/>
      </c>
      <c r="S49" s="11" t="n"/>
      <c r="T49" s="11" t="n"/>
      <c r="U49" s="11" t="n"/>
      <c r="V49" s="14">
        <f>IF(U49="Yes",IF(R49=6,"OK","Coverage gap"),"")</f>
        <v/>
      </c>
      <c r="W49" s="11" t="n"/>
      <c r="X49" s="11" t="n"/>
      <c r="Y49" s="15" t="n"/>
      <c r="Z49" s="11" t="n"/>
    </row>
    <row r="50" ht="18" customHeight="1">
      <c r="A50" s="14">
        <f>IF(B50="","",UPPER(LEFT(B50,2))&amp;TEXT(COUNTIF(B$2:B50,B50),"00"))</f>
        <v/>
      </c>
      <c r="B50" s="11" t="n"/>
      <c r="C50" s="11" t="n"/>
      <c r="D50" s="11" t="n"/>
      <c r="E50" s="11" t="n"/>
      <c r="F50" s="11" t="n"/>
      <c r="G50" s="11" t="n"/>
      <c r="H50" s="11" t="n"/>
      <c r="I50" s="11" t="n"/>
      <c r="J50" s="11" t="n"/>
      <c r="K50" s="15" t="n"/>
      <c r="L50" s="11" t="n"/>
      <c r="M50" s="11" t="n"/>
      <c r="N50" s="11" t="n"/>
      <c r="O50" s="11" t="n"/>
      <c r="P50" s="11" t="n"/>
      <c r="Q50" s="11" t="n"/>
      <c r="R50" s="14">
        <f>IF(C50="","",COUNTIF(L50:Q50,"Yes"))</f>
        <v/>
      </c>
      <c r="S50" s="11" t="n"/>
      <c r="T50" s="11" t="n"/>
      <c r="U50" s="11" t="n"/>
      <c r="V50" s="14">
        <f>IF(U50="Yes",IF(R50=6,"OK","Coverage gap"),"")</f>
        <v/>
      </c>
      <c r="W50" s="11" t="n"/>
      <c r="X50" s="11" t="n"/>
      <c r="Y50" s="15" t="n"/>
      <c r="Z50" s="11" t="n"/>
    </row>
    <row r="51" ht="18" customHeight="1">
      <c r="A51" s="14">
        <f>IF(B51="","",UPPER(LEFT(B51,2))&amp;TEXT(COUNTIF(B$2:B51,B51),"00"))</f>
        <v/>
      </c>
      <c r="B51" s="11" t="n"/>
      <c r="C51" s="11" t="n"/>
      <c r="D51" s="11" t="n"/>
      <c r="E51" s="11" t="n"/>
      <c r="F51" s="11" t="n"/>
      <c r="G51" s="11" t="n"/>
      <c r="H51" s="11" t="n"/>
      <c r="I51" s="11" t="n"/>
      <c r="J51" s="11" t="n"/>
      <c r="K51" s="15" t="n"/>
      <c r="L51" s="11" t="n"/>
      <c r="M51" s="11" t="n"/>
      <c r="N51" s="11" t="n"/>
      <c r="O51" s="11" t="n"/>
      <c r="P51" s="11" t="n"/>
      <c r="Q51" s="11" t="n"/>
      <c r="R51" s="14">
        <f>IF(C51="","",COUNTIF(L51:Q51,"Yes"))</f>
        <v/>
      </c>
      <c r="S51" s="11" t="n"/>
      <c r="T51" s="11" t="n"/>
      <c r="U51" s="11" t="n"/>
      <c r="V51" s="14">
        <f>IF(U51="Yes",IF(R51=6,"OK","Coverage gap"),"")</f>
        <v/>
      </c>
      <c r="W51" s="11" t="n"/>
      <c r="X51" s="11" t="n"/>
      <c r="Y51" s="15" t="n"/>
      <c r="Z51" s="11" t="n"/>
    </row>
    <row r="52" ht="18" customHeight="1">
      <c r="A52" s="14">
        <f>IF(B52="","",UPPER(LEFT(B52,2))&amp;TEXT(COUNTIF(B$2:B52,B52),"00"))</f>
        <v/>
      </c>
      <c r="B52" s="11" t="n"/>
      <c r="C52" s="11" t="n"/>
      <c r="D52" s="11" t="n"/>
      <c r="E52" s="11" t="n"/>
      <c r="F52" s="11" t="n"/>
      <c r="G52" s="11" t="n"/>
      <c r="H52" s="11" t="n"/>
      <c r="I52" s="11" t="n"/>
      <c r="J52" s="11" t="n"/>
      <c r="K52" s="15" t="n"/>
      <c r="L52" s="11" t="n"/>
      <c r="M52" s="11" t="n"/>
      <c r="N52" s="11" t="n"/>
      <c r="O52" s="11" t="n"/>
      <c r="P52" s="11" t="n"/>
      <c r="Q52" s="11" t="n"/>
      <c r="R52" s="14">
        <f>IF(C52="","",COUNTIF(L52:Q52,"Yes"))</f>
        <v/>
      </c>
      <c r="S52" s="11" t="n"/>
      <c r="T52" s="11" t="n"/>
      <c r="U52" s="11" t="n"/>
      <c r="V52" s="14">
        <f>IF(U52="Yes",IF(R52=6,"OK","Coverage gap"),"")</f>
        <v/>
      </c>
      <c r="W52" s="11" t="n"/>
      <c r="X52" s="11" t="n"/>
      <c r="Y52" s="15" t="n"/>
      <c r="Z52" s="11" t="n"/>
    </row>
    <row r="53" ht="18" customHeight="1">
      <c r="A53" s="14">
        <f>IF(B53="","",UPPER(LEFT(B53,2))&amp;TEXT(COUNTIF(B$2:B53,B53),"00"))</f>
        <v/>
      </c>
      <c r="B53" s="11" t="n"/>
      <c r="C53" s="11" t="n"/>
      <c r="D53" s="11" t="n"/>
      <c r="E53" s="11" t="n"/>
      <c r="F53" s="11" t="n"/>
      <c r="G53" s="11" t="n"/>
      <c r="H53" s="11" t="n"/>
      <c r="I53" s="11" t="n"/>
      <c r="J53" s="11" t="n"/>
      <c r="K53" s="15" t="n"/>
      <c r="L53" s="11" t="n"/>
      <c r="M53" s="11" t="n"/>
      <c r="N53" s="11" t="n"/>
      <c r="O53" s="11" t="n"/>
      <c r="P53" s="11" t="n"/>
      <c r="Q53" s="11" t="n"/>
      <c r="R53" s="14">
        <f>IF(C53="","",COUNTIF(L53:Q53,"Yes"))</f>
        <v/>
      </c>
      <c r="S53" s="11" t="n"/>
      <c r="T53" s="11" t="n"/>
      <c r="U53" s="11" t="n"/>
      <c r="V53" s="14">
        <f>IF(U53="Yes",IF(R53=6,"OK","Coverage gap"),"")</f>
        <v/>
      </c>
      <c r="W53" s="11" t="n"/>
      <c r="X53" s="11" t="n"/>
      <c r="Y53" s="15" t="n"/>
      <c r="Z53" s="11" t="n"/>
    </row>
    <row r="54" ht="18" customHeight="1">
      <c r="A54" s="14">
        <f>IF(B54="","",UPPER(LEFT(B54,2))&amp;TEXT(COUNTIF(B$2:B54,B54),"00"))</f>
        <v/>
      </c>
      <c r="B54" s="11" t="n"/>
      <c r="C54" s="11" t="n"/>
      <c r="D54" s="11" t="n"/>
      <c r="E54" s="11" t="n"/>
      <c r="F54" s="11" t="n"/>
      <c r="G54" s="11" t="n"/>
      <c r="H54" s="11" t="n"/>
      <c r="I54" s="11" t="n"/>
      <c r="J54" s="11" t="n"/>
      <c r="K54" s="15" t="n"/>
      <c r="L54" s="11" t="n"/>
      <c r="M54" s="11" t="n"/>
      <c r="N54" s="11" t="n"/>
      <c r="O54" s="11" t="n"/>
      <c r="P54" s="11" t="n"/>
      <c r="Q54" s="11" t="n"/>
      <c r="R54" s="14">
        <f>IF(C54="","",COUNTIF(L54:Q54,"Yes"))</f>
        <v/>
      </c>
      <c r="S54" s="11" t="n"/>
      <c r="T54" s="11" t="n"/>
      <c r="U54" s="11" t="n"/>
      <c r="V54" s="14">
        <f>IF(U54="Yes",IF(R54=6,"OK","Coverage gap"),"")</f>
        <v/>
      </c>
      <c r="W54" s="11" t="n"/>
      <c r="X54" s="11" t="n"/>
      <c r="Y54" s="15" t="n"/>
      <c r="Z54" s="11" t="n"/>
    </row>
    <row r="55" ht="18" customHeight="1">
      <c r="A55" s="14">
        <f>IF(B55="","",UPPER(LEFT(B55,2))&amp;TEXT(COUNTIF(B$2:B55,B55),"00"))</f>
        <v/>
      </c>
      <c r="B55" s="11" t="n"/>
      <c r="C55" s="11" t="n"/>
      <c r="D55" s="11" t="n"/>
      <c r="E55" s="11" t="n"/>
      <c r="F55" s="11" t="n"/>
      <c r="G55" s="11" t="n"/>
      <c r="H55" s="11" t="n"/>
      <c r="I55" s="11" t="n"/>
      <c r="J55" s="11" t="n"/>
      <c r="K55" s="15" t="n"/>
      <c r="L55" s="11" t="n"/>
      <c r="M55" s="11" t="n"/>
      <c r="N55" s="11" t="n"/>
      <c r="O55" s="11" t="n"/>
      <c r="P55" s="11" t="n"/>
      <c r="Q55" s="11" t="n"/>
      <c r="R55" s="14">
        <f>IF(C55="","",COUNTIF(L55:Q55,"Yes"))</f>
        <v/>
      </c>
      <c r="S55" s="11" t="n"/>
      <c r="T55" s="11" t="n"/>
      <c r="U55" s="11" t="n"/>
      <c r="V55" s="14">
        <f>IF(U55="Yes",IF(R55=6,"OK","Coverage gap"),"")</f>
        <v/>
      </c>
      <c r="W55" s="11" t="n"/>
      <c r="X55" s="11" t="n"/>
      <c r="Y55" s="15" t="n"/>
      <c r="Z55" s="11" t="n"/>
    </row>
    <row r="56" ht="18" customHeight="1">
      <c r="A56" s="14">
        <f>IF(B56="","",UPPER(LEFT(B56,2))&amp;TEXT(COUNTIF(B$2:B56,B56),"00"))</f>
        <v/>
      </c>
      <c r="B56" s="11" t="n"/>
      <c r="C56" s="11" t="n"/>
      <c r="D56" s="11" t="n"/>
      <c r="E56" s="11" t="n"/>
      <c r="F56" s="11" t="n"/>
      <c r="G56" s="11" t="n"/>
      <c r="H56" s="11" t="n"/>
      <c r="I56" s="11" t="n"/>
      <c r="J56" s="11" t="n"/>
      <c r="K56" s="15" t="n"/>
      <c r="L56" s="11" t="n"/>
      <c r="M56" s="11" t="n"/>
      <c r="N56" s="11" t="n"/>
      <c r="O56" s="11" t="n"/>
      <c r="P56" s="11" t="n"/>
      <c r="Q56" s="11" t="n"/>
      <c r="R56" s="14">
        <f>IF(C56="","",COUNTIF(L56:Q56,"Yes"))</f>
        <v/>
      </c>
      <c r="S56" s="11" t="n"/>
      <c r="T56" s="11" t="n"/>
      <c r="U56" s="11" t="n"/>
      <c r="V56" s="14">
        <f>IF(U56="Yes",IF(R56=6,"OK","Coverage gap"),"")</f>
        <v/>
      </c>
      <c r="W56" s="11" t="n"/>
      <c r="X56" s="11" t="n"/>
      <c r="Y56" s="15" t="n"/>
      <c r="Z56" s="11" t="n"/>
    </row>
    <row r="57" ht="18" customHeight="1">
      <c r="A57" s="14">
        <f>IF(B57="","",UPPER(LEFT(B57,2))&amp;TEXT(COUNTIF(B$2:B57,B57),"00"))</f>
        <v/>
      </c>
      <c r="B57" s="11" t="n"/>
      <c r="C57" s="11" t="n"/>
      <c r="D57" s="11" t="n"/>
      <c r="E57" s="11" t="n"/>
      <c r="F57" s="11" t="n"/>
      <c r="G57" s="11" t="n"/>
      <c r="H57" s="11" t="n"/>
      <c r="I57" s="11" t="n"/>
      <c r="J57" s="11" t="n"/>
      <c r="K57" s="15" t="n"/>
      <c r="L57" s="11" t="n"/>
      <c r="M57" s="11" t="n"/>
      <c r="N57" s="11" t="n"/>
      <c r="O57" s="11" t="n"/>
      <c r="P57" s="11" t="n"/>
      <c r="Q57" s="11" t="n"/>
      <c r="R57" s="14">
        <f>IF(C57="","",COUNTIF(L57:Q57,"Yes"))</f>
        <v/>
      </c>
      <c r="S57" s="11" t="n"/>
      <c r="T57" s="11" t="n"/>
      <c r="U57" s="11" t="n"/>
      <c r="V57" s="14">
        <f>IF(U57="Yes",IF(R57=6,"OK","Coverage gap"),"")</f>
        <v/>
      </c>
      <c r="W57" s="11" t="n"/>
      <c r="X57" s="11" t="n"/>
      <c r="Y57" s="15" t="n"/>
      <c r="Z57" s="11" t="n"/>
    </row>
    <row r="58" ht="18" customHeight="1">
      <c r="A58" s="14">
        <f>IF(B58="","",UPPER(LEFT(B58,2))&amp;TEXT(COUNTIF(B$2:B58,B58),"00"))</f>
        <v/>
      </c>
      <c r="B58" s="11" t="n"/>
      <c r="C58" s="11" t="n"/>
      <c r="D58" s="11" t="n"/>
      <c r="E58" s="11" t="n"/>
      <c r="F58" s="11" t="n"/>
      <c r="G58" s="11" t="n"/>
      <c r="H58" s="11" t="n"/>
      <c r="I58" s="11" t="n"/>
      <c r="J58" s="11" t="n"/>
      <c r="K58" s="15" t="n"/>
      <c r="L58" s="11" t="n"/>
      <c r="M58" s="11" t="n"/>
      <c r="N58" s="11" t="n"/>
      <c r="O58" s="11" t="n"/>
      <c r="P58" s="11" t="n"/>
      <c r="Q58" s="11" t="n"/>
      <c r="R58" s="14">
        <f>IF(C58="","",COUNTIF(L58:Q58,"Yes"))</f>
        <v/>
      </c>
      <c r="S58" s="11" t="n"/>
      <c r="T58" s="11" t="n"/>
      <c r="U58" s="11" t="n"/>
      <c r="V58" s="14">
        <f>IF(U58="Yes",IF(R58=6,"OK","Coverage gap"),"")</f>
        <v/>
      </c>
      <c r="W58" s="11" t="n"/>
      <c r="X58" s="11" t="n"/>
      <c r="Y58" s="15" t="n"/>
      <c r="Z58" s="11" t="n"/>
    </row>
    <row r="59" ht="18" customHeight="1">
      <c r="A59" s="14">
        <f>IF(B59="","",UPPER(LEFT(B59,2))&amp;TEXT(COUNTIF(B$2:B59,B59),"00"))</f>
        <v/>
      </c>
      <c r="B59" s="11" t="n"/>
      <c r="C59" s="11" t="n"/>
      <c r="D59" s="11" t="n"/>
      <c r="E59" s="11" t="n"/>
      <c r="F59" s="11" t="n"/>
      <c r="G59" s="11" t="n"/>
      <c r="H59" s="11" t="n"/>
      <c r="I59" s="11" t="n"/>
      <c r="J59" s="11" t="n"/>
      <c r="K59" s="15" t="n"/>
      <c r="L59" s="11" t="n"/>
      <c r="M59" s="11" t="n"/>
      <c r="N59" s="11" t="n"/>
      <c r="O59" s="11" t="n"/>
      <c r="P59" s="11" t="n"/>
      <c r="Q59" s="11" t="n"/>
      <c r="R59" s="14">
        <f>IF(C59="","",COUNTIF(L59:Q59,"Yes"))</f>
        <v/>
      </c>
      <c r="S59" s="11" t="n"/>
      <c r="T59" s="11" t="n"/>
      <c r="U59" s="11" t="n"/>
      <c r="V59" s="14">
        <f>IF(U59="Yes",IF(R59=6,"OK","Coverage gap"),"")</f>
        <v/>
      </c>
      <c r="W59" s="11" t="n"/>
      <c r="X59" s="11" t="n"/>
      <c r="Y59" s="15" t="n"/>
      <c r="Z59" s="11" t="n"/>
    </row>
    <row r="60" ht="18" customHeight="1">
      <c r="A60" s="14">
        <f>IF(B60="","",UPPER(LEFT(B60,2))&amp;TEXT(COUNTIF(B$2:B60,B60),"00"))</f>
        <v/>
      </c>
      <c r="B60" s="11" t="n"/>
      <c r="C60" s="11" t="n"/>
      <c r="D60" s="11" t="n"/>
      <c r="E60" s="11" t="n"/>
      <c r="F60" s="11" t="n"/>
      <c r="G60" s="11" t="n"/>
      <c r="H60" s="11" t="n"/>
      <c r="I60" s="11" t="n"/>
      <c r="J60" s="11" t="n"/>
      <c r="K60" s="15" t="n"/>
      <c r="L60" s="11" t="n"/>
      <c r="M60" s="11" t="n"/>
      <c r="N60" s="11" t="n"/>
      <c r="O60" s="11" t="n"/>
      <c r="P60" s="11" t="n"/>
      <c r="Q60" s="11" t="n"/>
      <c r="R60" s="14">
        <f>IF(C60="","",COUNTIF(L60:Q60,"Yes"))</f>
        <v/>
      </c>
      <c r="S60" s="11" t="n"/>
      <c r="T60" s="11" t="n"/>
      <c r="U60" s="11" t="n"/>
      <c r="V60" s="14">
        <f>IF(U60="Yes",IF(R60=6,"OK","Coverage gap"),"")</f>
        <v/>
      </c>
      <c r="W60" s="11" t="n"/>
      <c r="X60" s="11" t="n"/>
      <c r="Y60" s="15" t="n"/>
      <c r="Z60" s="11" t="n"/>
    </row>
    <row r="61" ht="18" customHeight="1">
      <c r="A61" s="14">
        <f>IF(B61="","",UPPER(LEFT(B61,2))&amp;TEXT(COUNTIF(B$2:B61,B61),"00"))</f>
        <v/>
      </c>
      <c r="B61" s="11" t="n"/>
      <c r="C61" s="11" t="n"/>
      <c r="D61" s="11" t="n"/>
      <c r="E61" s="11" t="n"/>
      <c r="F61" s="11" t="n"/>
      <c r="G61" s="11" t="n"/>
      <c r="H61" s="11" t="n"/>
      <c r="I61" s="11" t="n"/>
      <c r="J61" s="11" t="n"/>
      <c r="K61" s="15" t="n"/>
      <c r="L61" s="11" t="n"/>
      <c r="M61" s="11" t="n"/>
      <c r="N61" s="11" t="n"/>
      <c r="O61" s="11" t="n"/>
      <c r="P61" s="11" t="n"/>
      <c r="Q61" s="11" t="n"/>
      <c r="R61" s="14">
        <f>IF(C61="","",COUNTIF(L61:Q61,"Yes"))</f>
        <v/>
      </c>
      <c r="S61" s="11" t="n"/>
      <c r="T61" s="11" t="n"/>
      <c r="U61" s="11" t="n"/>
      <c r="V61" s="14">
        <f>IF(U61="Yes",IF(R61=6,"OK","Coverage gap"),"")</f>
        <v/>
      </c>
      <c r="W61" s="11" t="n"/>
      <c r="X61" s="11" t="n"/>
      <c r="Y61" s="15" t="n"/>
      <c r="Z61" s="11" t="n"/>
    </row>
    <row r="62" ht="18" customHeight="1">
      <c r="A62" s="14">
        <f>IF(B62="","",UPPER(LEFT(B62,2))&amp;TEXT(COUNTIF(B$2:B62,B62),"00"))</f>
        <v/>
      </c>
      <c r="B62" s="11" t="n"/>
      <c r="C62" s="11" t="n"/>
      <c r="D62" s="11" t="n"/>
      <c r="E62" s="11" t="n"/>
      <c r="F62" s="11" t="n"/>
      <c r="G62" s="11" t="n"/>
      <c r="H62" s="11" t="n"/>
      <c r="I62" s="11" t="n"/>
      <c r="J62" s="11" t="n"/>
      <c r="K62" s="15" t="n"/>
      <c r="L62" s="11" t="n"/>
      <c r="M62" s="11" t="n"/>
      <c r="N62" s="11" t="n"/>
      <c r="O62" s="11" t="n"/>
      <c r="P62" s="11" t="n"/>
      <c r="Q62" s="11" t="n"/>
      <c r="R62" s="14">
        <f>IF(C62="","",COUNTIF(L62:Q62,"Yes"))</f>
        <v/>
      </c>
      <c r="S62" s="11" t="n"/>
      <c r="T62" s="11" t="n"/>
      <c r="U62" s="11" t="n"/>
      <c r="V62" s="14">
        <f>IF(U62="Yes",IF(R62=6,"OK","Coverage gap"),"")</f>
        <v/>
      </c>
      <c r="W62" s="11" t="n"/>
      <c r="X62" s="11" t="n"/>
      <c r="Y62" s="15" t="n"/>
      <c r="Z62" s="11" t="n"/>
    </row>
    <row r="63" ht="18" customHeight="1">
      <c r="A63" s="14">
        <f>IF(B63="","",UPPER(LEFT(B63,2))&amp;TEXT(COUNTIF(B$2:B63,B63),"00"))</f>
        <v/>
      </c>
      <c r="B63" s="11" t="n"/>
      <c r="C63" s="11" t="n"/>
      <c r="D63" s="11" t="n"/>
      <c r="E63" s="11" t="n"/>
      <c r="F63" s="11" t="n"/>
      <c r="G63" s="11" t="n"/>
      <c r="H63" s="11" t="n"/>
      <c r="I63" s="11" t="n"/>
      <c r="J63" s="11" t="n"/>
      <c r="K63" s="15" t="n"/>
      <c r="L63" s="11" t="n"/>
      <c r="M63" s="11" t="n"/>
      <c r="N63" s="11" t="n"/>
      <c r="O63" s="11" t="n"/>
      <c r="P63" s="11" t="n"/>
      <c r="Q63" s="11" t="n"/>
      <c r="R63" s="14">
        <f>IF(C63="","",COUNTIF(L63:Q63,"Yes"))</f>
        <v/>
      </c>
      <c r="S63" s="11" t="n"/>
      <c r="T63" s="11" t="n"/>
      <c r="U63" s="11" t="n"/>
      <c r="V63" s="14">
        <f>IF(U63="Yes",IF(R63=6,"OK","Coverage gap"),"")</f>
        <v/>
      </c>
      <c r="W63" s="11" t="n"/>
      <c r="X63" s="11" t="n"/>
      <c r="Y63" s="15" t="n"/>
      <c r="Z63" s="11" t="n"/>
    </row>
    <row r="64" ht="18" customHeight="1">
      <c r="A64" s="14">
        <f>IF(B64="","",UPPER(LEFT(B64,2))&amp;TEXT(COUNTIF(B$2:B64,B64),"00"))</f>
        <v/>
      </c>
      <c r="B64" s="11" t="n"/>
      <c r="C64" s="11" t="n"/>
      <c r="D64" s="11" t="n"/>
      <c r="E64" s="11" t="n"/>
      <c r="F64" s="11" t="n"/>
      <c r="G64" s="11" t="n"/>
      <c r="H64" s="11" t="n"/>
      <c r="I64" s="11" t="n"/>
      <c r="J64" s="11" t="n"/>
      <c r="K64" s="15" t="n"/>
      <c r="L64" s="11" t="n"/>
      <c r="M64" s="11" t="n"/>
      <c r="N64" s="11" t="n"/>
      <c r="O64" s="11" t="n"/>
      <c r="P64" s="11" t="n"/>
      <c r="Q64" s="11" t="n"/>
      <c r="R64" s="14">
        <f>IF(C64="","",COUNTIF(L64:Q64,"Yes"))</f>
        <v/>
      </c>
      <c r="S64" s="11" t="n"/>
      <c r="T64" s="11" t="n"/>
      <c r="U64" s="11" t="n"/>
      <c r="V64" s="14">
        <f>IF(U64="Yes",IF(R64=6,"OK","Coverage gap"),"")</f>
        <v/>
      </c>
      <c r="W64" s="11" t="n"/>
      <c r="X64" s="11" t="n"/>
      <c r="Y64" s="15" t="n"/>
      <c r="Z64" s="11" t="n"/>
    </row>
    <row r="65" ht="18" customHeight="1">
      <c r="A65" s="14">
        <f>IF(B65="","",UPPER(LEFT(B65,2))&amp;TEXT(COUNTIF(B$2:B65,B65),"00"))</f>
        <v/>
      </c>
      <c r="B65" s="11" t="n"/>
      <c r="C65" s="11" t="n"/>
      <c r="D65" s="11" t="n"/>
      <c r="E65" s="11" t="n"/>
      <c r="F65" s="11" t="n"/>
      <c r="G65" s="11" t="n"/>
      <c r="H65" s="11" t="n"/>
      <c r="I65" s="11" t="n"/>
      <c r="J65" s="11" t="n"/>
      <c r="K65" s="15" t="n"/>
      <c r="L65" s="11" t="n"/>
      <c r="M65" s="11" t="n"/>
      <c r="N65" s="11" t="n"/>
      <c r="O65" s="11" t="n"/>
      <c r="P65" s="11" t="n"/>
      <c r="Q65" s="11" t="n"/>
      <c r="R65" s="14">
        <f>IF(C65="","",COUNTIF(L65:Q65,"Yes"))</f>
        <v/>
      </c>
      <c r="S65" s="11" t="n"/>
      <c r="T65" s="11" t="n"/>
      <c r="U65" s="11" t="n"/>
      <c r="V65" s="14">
        <f>IF(U65="Yes",IF(R65=6,"OK","Coverage gap"),"")</f>
        <v/>
      </c>
      <c r="W65" s="11" t="n"/>
      <c r="X65" s="11" t="n"/>
      <c r="Y65" s="15" t="n"/>
      <c r="Z65" s="11" t="n"/>
    </row>
    <row r="66" ht="18" customHeight="1">
      <c r="A66" s="14">
        <f>IF(B66="","",UPPER(LEFT(B66,2))&amp;TEXT(COUNTIF(B$2:B66,B66),"00"))</f>
        <v/>
      </c>
      <c r="B66" s="11" t="n"/>
      <c r="C66" s="11" t="n"/>
      <c r="D66" s="11" t="n"/>
      <c r="E66" s="11" t="n"/>
      <c r="F66" s="11" t="n"/>
      <c r="G66" s="11" t="n"/>
      <c r="H66" s="11" t="n"/>
      <c r="I66" s="11" t="n"/>
      <c r="J66" s="11" t="n"/>
      <c r="K66" s="15" t="n"/>
      <c r="L66" s="11" t="n"/>
      <c r="M66" s="11" t="n"/>
      <c r="N66" s="11" t="n"/>
      <c r="O66" s="11" t="n"/>
      <c r="P66" s="11" t="n"/>
      <c r="Q66" s="11" t="n"/>
      <c r="R66" s="14">
        <f>IF(C66="","",COUNTIF(L66:Q66,"Yes"))</f>
        <v/>
      </c>
      <c r="S66" s="11" t="n"/>
      <c r="T66" s="11" t="n"/>
      <c r="U66" s="11" t="n"/>
      <c r="V66" s="14">
        <f>IF(U66="Yes",IF(R66=6,"OK","Coverage gap"),"")</f>
        <v/>
      </c>
      <c r="W66" s="11" t="n"/>
      <c r="X66" s="11" t="n"/>
      <c r="Y66" s="15" t="n"/>
      <c r="Z66" s="11" t="n"/>
    </row>
    <row r="67" ht="18" customHeight="1">
      <c r="A67" s="14">
        <f>IF(B67="","",UPPER(LEFT(B67,2))&amp;TEXT(COUNTIF(B$2:B67,B67),"00"))</f>
        <v/>
      </c>
      <c r="B67" s="11" t="n"/>
      <c r="C67" s="11" t="n"/>
      <c r="D67" s="11" t="n"/>
      <c r="E67" s="11" t="n"/>
      <c r="F67" s="11" t="n"/>
      <c r="G67" s="11" t="n"/>
      <c r="H67" s="11" t="n"/>
      <c r="I67" s="11" t="n"/>
      <c r="J67" s="11" t="n"/>
      <c r="K67" s="15" t="n"/>
      <c r="L67" s="11" t="n"/>
      <c r="M67" s="11" t="n"/>
      <c r="N67" s="11" t="n"/>
      <c r="O67" s="11" t="n"/>
      <c r="P67" s="11" t="n"/>
      <c r="Q67" s="11" t="n"/>
      <c r="R67" s="14">
        <f>IF(C67="","",COUNTIF(L67:Q67,"Yes"))</f>
        <v/>
      </c>
      <c r="S67" s="11" t="n"/>
      <c r="T67" s="11" t="n"/>
      <c r="U67" s="11" t="n"/>
      <c r="V67" s="14">
        <f>IF(U67="Yes",IF(R67=6,"OK","Coverage gap"),"")</f>
        <v/>
      </c>
      <c r="W67" s="11" t="n"/>
      <c r="X67" s="11" t="n"/>
      <c r="Y67" s="15" t="n"/>
      <c r="Z67" s="11" t="n"/>
    </row>
    <row r="68" ht="18" customHeight="1">
      <c r="A68" s="14">
        <f>IF(B68="","",UPPER(LEFT(B68,2))&amp;TEXT(COUNTIF(B$2:B68,B68),"00"))</f>
        <v/>
      </c>
      <c r="B68" s="11" t="n"/>
      <c r="C68" s="11" t="n"/>
      <c r="D68" s="11" t="n"/>
      <c r="E68" s="11" t="n"/>
      <c r="F68" s="11" t="n"/>
      <c r="G68" s="11" t="n"/>
      <c r="H68" s="11" t="n"/>
      <c r="I68" s="11" t="n"/>
      <c r="J68" s="11" t="n"/>
      <c r="K68" s="15" t="n"/>
      <c r="L68" s="11" t="n"/>
      <c r="M68" s="11" t="n"/>
      <c r="N68" s="11" t="n"/>
      <c r="O68" s="11" t="n"/>
      <c r="P68" s="11" t="n"/>
      <c r="Q68" s="11" t="n"/>
      <c r="R68" s="14">
        <f>IF(C68="","",COUNTIF(L68:Q68,"Yes"))</f>
        <v/>
      </c>
      <c r="S68" s="11" t="n"/>
      <c r="T68" s="11" t="n"/>
      <c r="U68" s="11" t="n"/>
      <c r="V68" s="14">
        <f>IF(U68="Yes",IF(R68=6,"OK","Coverage gap"),"")</f>
        <v/>
      </c>
      <c r="W68" s="11" t="n"/>
      <c r="X68" s="11" t="n"/>
      <c r="Y68" s="15" t="n"/>
      <c r="Z68" s="11" t="n"/>
    </row>
    <row r="69" ht="18" customHeight="1">
      <c r="A69" s="14">
        <f>IF(B69="","",UPPER(LEFT(B69,2))&amp;TEXT(COUNTIF(B$2:B69,B69),"00"))</f>
        <v/>
      </c>
      <c r="B69" s="11" t="n"/>
      <c r="C69" s="11" t="n"/>
      <c r="D69" s="11" t="n"/>
      <c r="E69" s="11" t="n"/>
      <c r="F69" s="11" t="n"/>
      <c r="G69" s="11" t="n"/>
      <c r="H69" s="11" t="n"/>
      <c r="I69" s="11" t="n"/>
      <c r="J69" s="11" t="n"/>
      <c r="K69" s="15" t="n"/>
      <c r="L69" s="11" t="n"/>
      <c r="M69" s="11" t="n"/>
      <c r="N69" s="11" t="n"/>
      <c r="O69" s="11" t="n"/>
      <c r="P69" s="11" t="n"/>
      <c r="Q69" s="11" t="n"/>
      <c r="R69" s="14">
        <f>IF(C69="","",COUNTIF(L69:Q69,"Yes"))</f>
        <v/>
      </c>
      <c r="S69" s="11" t="n"/>
      <c r="T69" s="11" t="n"/>
      <c r="U69" s="11" t="n"/>
      <c r="V69" s="14">
        <f>IF(U69="Yes",IF(R69=6,"OK","Coverage gap"),"")</f>
        <v/>
      </c>
      <c r="W69" s="11" t="n"/>
      <c r="X69" s="11" t="n"/>
      <c r="Y69" s="15" t="n"/>
      <c r="Z69" s="11" t="n"/>
    </row>
    <row r="70" ht="18" customHeight="1">
      <c r="A70" s="14">
        <f>IF(B70="","",UPPER(LEFT(B70,2))&amp;TEXT(COUNTIF(B$2:B70,B70),"00"))</f>
        <v/>
      </c>
      <c r="B70" s="11" t="n"/>
      <c r="C70" s="11" t="n"/>
      <c r="D70" s="11" t="n"/>
      <c r="E70" s="11" t="n"/>
      <c r="F70" s="11" t="n"/>
      <c r="G70" s="11" t="n"/>
      <c r="H70" s="11" t="n"/>
      <c r="I70" s="11" t="n"/>
      <c r="J70" s="11" t="n"/>
      <c r="K70" s="15" t="n"/>
      <c r="L70" s="11" t="n"/>
      <c r="M70" s="11" t="n"/>
      <c r="N70" s="11" t="n"/>
      <c r="O70" s="11" t="n"/>
      <c r="P70" s="11" t="n"/>
      <c r="Q70" s="11" t="n"/>
      <c r="R70" s="14">
        <f>IF(C70="","",COUNTIF(L70:Q70,"Yes"))</f>
        <v/>
      </c>
      <c r="S70" s="11" t="n"/>
      <c r="T70" s="11" t="n"/>
      <c r="U70" s="11" t="n"/>
      <c r="V70" s="14">
        <f>IF(U70="Yes",IF(R70=6,"OK","Coverage gap"),"")</f>
        <v/>
      </c>
      <c r="W70" s="11" t="n"/>
      <c r="X70" s="11" t="n"/>
      <c r="Y70" s="15" t="n"/>
      <c r="Z70" s="11" t="n"/>
    </row>
    <row r="71" ht="18" customHeight="1">
      <c r="A71" s="14">
        <f>IF(B71="","",UPPER(LEFT(B71,2))&amp;TEXT(COUNTIF(B$2:B71,B71),"00"))</f>
        <v/>
      </c>
      <c r="B71" s="11" t="n"/>
      <c r="C71" s="11" t="n"/>
      <c r="D71" s="11" t="n"/>
      <c r="E71" s="11" t="n"/>
      <c r="F71" s="11" t="n"/>
      <c r="G71" s="11" t="n"/>
      <c r="H71" s="11" t="n"/>
      <c r="I71" s="11" t="n"/>
      <c r="J71" s="11" t="n"/>
      <c r="K71" s="15" t="n"/>
      <c r="L71" s="11" t="n"/>
      <c r="M71" s="11" t="n"/>
      <c r="N71" s="11" t="n"/>
      <c r="O71" s="11" t="n"/>
      <c r="P71" s="11" t="n"/>
      <c r="Q71" s="11" t="n"/>
      <c r="R71" s="14">
        <f>IF(C71="","",COUNTIF(L71:Q71,"Yes"))</f>
        <v/>
      </c>
      <c r="S71" s="11" t="n"/>
      <c r="T71" s="11" t="n"/>
      <c r="U71" s="11" t="n"/>
      <c r="V71" s="14">
        <f>IF(U71="Yes",IF(R71=6,"OK","Coverage gap"),"")</f>
        <v/>
      </c>
      <c r="W71" s="11" t="n"/>
      <c r="X71" s="11" t="n"/>
      <c r="Y71" s="15" t="n"/>
      <c r="Z71" s="11" t="n"/>
    </row>
    <row r="72" ht="18" customHeight="1">
      <c r="A72" s="14">
        <f>IF(B72="","",UPPER(LEFT(B72,2))&amp;TEXT(COUNTIF(B$2:B72,B72),"00"))</f>
        <v/>
      </c>
      <c r="B72" s="11" t="n"/>
      <c r="C72" s="11" t="n"/>
      <c r="D72" s="11" t="n"/>
      <c r="E72" s="11" t="n"/>
      <c r="F72" s="11" t="n"/>
      <c r="G72" s="11" t="n"/>
      <c r="H72" s="11" t="n"/>
      <c r="I72" s="11" t="n"/>
      <c r="J72" s="11" t="n"/>
      <c r="K72" s="15" t="n"/>
      <c r="L72" s="11" t="n"/>
      <c r="M72" s="11" t="n"/>
      <c r="N72" s="11" t="n"/>
      <c r="O72" s="11" t="n"/>
      <c r="P72" s="11" t="n"/>
      <c r="Q72" s="11" t="n"/>
      <c r="R72" s="14">
        <f>IF(C72="","",COUNTIF(L72:Q72,"Yes"))</f>
        <v/>
      </c>
      <c r="S72" s="11" t="n"/>
      <c r="T72" s="11" t="n"/>
      <c r="U72" s="11" t="n"/>
      <c r="V72" s="14">
        <f>IF(U72="Yes",IF(R72=6,"OK","Coverage gap"),"")</f>
        <v/>
      </c>
      <c r="W72" s="11" t="n"/>
      <c r="X72" s="11" t="n"/>
      <c r="Y72" s="15" t="n"/>
      <c r="Z72" s="11" t="n"/>
    </row>
    <row r="73" ht="18" customHeight="1">
      <c r="A73" s="14">
        <f>IF(B73="","",UPPER(LEFT(B73,2))&amp;TEXT(COUNTIF(B$2:B73,B73),"00"))</f>
        <v/>
      </c>
      <c r="B73" s="11" t="n"/>
      <c r="C73" s="11" t="n"/>
      <c r="D73" s="11" t="n"/>
      <c r="E73" s="11" t="n"/>
      <c r="F73" s="11" t="n"/>
      <c r="G73" s="11" t="n"/>
      <c r="H73" s="11" t="n"/>
      <c r="I73" s="11" t="n"/>
      <c r="J73" s="11" t="n"/>
      <c r="K73" s="15" t="n"/>
      <c r="L73" s="11" t="n"/>
      <c r="M73" s="11" t="n"/>
      <c r="N73" s="11" t="n"/>
      <c r="O73" s="11" t="n"/>
      <c r="P73" s="11" t="n"/>
      <c r="Q73" s="11" t="n"/>
      <c r="R73" s="14">
        <f>IF(C73="","",COUNTIF(L73:Q73,"Yes"))</f>
        <v/>
      </c>
      <c r="S73" s="11" t="n"/>
      <c r="T73" s="11" t="n"/>
      <c r="U73" s="11" t="n"/>
      <c r="V73" s="14">
        <f>IF(U73="Yes",IF(R73=6,"OK","Coverage gap"),"")</f>
        <v/>
      </c>
      <c r="W73" s="11" t="n"/>
      <c r="X73" s="11" t="n"/>
      <c r="Y73" s="15" t="n"/>
      <c r="Z73" s="11" t="n"/>
    </row>
    <row r="74" ht="18" customHeight="1">
      <c r="A74" s="14">
        <f>IF(B74="","",UPPER(LEFT(B74,2))&amp;TEXT(COUNTIF(B$2:B74,B74),"00"))</f>
        <v/>
      </c>
      <c r="B74" s="11" t="n"/>
      <c r="C74" s="11" t="n"/>
      <c r="D74" s="11" t="n"/>
      <c r="E74" s="11" t="n"/>
      <c r="F74" s="11" t="n"/>
      <c r="G74" s="11" t="n"/>
      <c r="H74" s="11" t="n"/>
      <c r="I74" s="11" t="n"/>
      <c r="J74" s="11" t="n"/>
      <c r="K74" s="15" t="n"/>
      <c r="L74" s="11" t="n"/>
      <c r="M74" s="11" t="n"/>
      <c r="N74" s="11" t="n"/>
      <c r="O74" s="11" t="n"/>
      <c r="P74" s="11" t="n"/>
      <c r="Q74" s="11" t="n"/>
      <c r="R74" s="14">
        <f>IF(C74="","",COUNTIF(L74:Q74,"Yes"))</f>
        <v/>
      </c>
      <c r="S74" s="11" t="n"/>
      <c r="T74" s="11" t="n"/>
      <c r="U74" s="11" t="n"/>
      <c r="V74" s="14">
        <f>IF(U74="Yes",IF(R74=6,"OK","Coverage gap"),"")</f>
        <v/>
      </c>
      <c r="W74" s="11" t="n"/>
      <c r="X74" s="11" t="n"/>
      <c r="Y74" s="15" t="n"/>
      <c r="Z74" s="11" t="n"/>
    </row>
    <row r="75" ht="18" customHeight="1">
      <c r="A75" s="14">
        <f>IF(B75="","",UPPER(LEFT(B75,2))&amp;TEXT(COUNTIF(B$2:B75,B75),"00"))</f>
        <v/>
      </c>
      <c r="B75" s="11" t="n"/>
      <c r="C75" s="11" t="n"/>
      <c r="D75" s="11" t="n"/>
      <c r="E75" s="11" t="n"/>
      <c r="F75" s="11" t="n"/>
      <c r="G75" s="11" t="n"/>
      <c r="H75" s="11" t="n"/>
      <c r="I75" s="11" t="n"/>
      <c r="J75" s="11" t="n"/>
      <c r="K75" s="15" t="n"/>
      <c r="L75" s="11" t="n"/>
      <c r="M75" s="11" t="n"/>
      <c r="N75" s="11" t="n"/>
      <c r="O75" s="11" t="n"/>
      <c r="P75" s="11" t="n"/>
      <c r="Q75" s="11" t="n"/>
      <c r="R75" s="14">
        <f>IF(C75="","",COUNTIF(L75:Q75,"Yes"))</f>
        <v/>
      </c>
      <c r="S75" s="11" t="n"/>
      <c r="T75" s="11" t="n"/>
      <c r="U75" s="11" t="n"/>
      <c r="V75" s="14">
        <f>IF(U75="Yes",IF(R75=6,"OK","Coverage gap"),"")</f>
        <v/>
      </c>
      <c r="W75" s="11" t="n"/>
      <c r="X75" s="11" t="n"/>
      <c r="Y75" s="15" t="n"/>
      <c r="Z75" s="11" t="n"/>
    </row>
    <row r="76" ht="18" customHeight="1">
      <c r="A76" s="14">
        <f>IF(B76="","",UPPER(LEFT(B76,2))&amp;TEXT(COUNTIF(B$2:B76,B76),"00"))</f>
        <v/>
      </c>
      <c r="B76" s="11" t="n"/>
      <c r="C76" s="11" t="n"/>
      <c r="D76" s="11" t="n"/>
      <c r="E76" s="11" t="n"/>
      <c r="F76" s="11" t="n"/>
      <c r="G76" s="11" t="n"/>
      <c r="H76" s="11" t="n"/>
      <c r="I76" s="11" t="n"/>
      <c r="J76" s="11" t="n"/>
      <c r="K76" s="15" t="n"/>
      <c r="L76" s="11" t="n"/>
      <c r="M76" s="11" t="n"/>
      <c r="N76" s="11" t="n"/>
      <c r="O76" s="11" t="n"/>
      <c r="P76" s="11" t="n"/>
      <c r="Q76" s="11" t="n"/>
      <c r="R76" s="14">
        <f>IF(C76="","",COUNTIF(L76:Q76,"Yes"))</f>
        <v/>
      </c>
      <c r="S76" s="11" t="n"/>
      <c r="T76" s="11" t="n"/>
      <c r="U76" s="11" t="n"/>
      <c r="V76" s="14">
        <f>IF(U76="Yes",IF(R76=6,"OK","Coverage gap"),"")</f>
        <v/>
      </c>
      <c r="W76" s="11" t="n"/>
      <c r="X76" s="11" t="n"/>
      <c r="Y76" s="15" t="n"/>
      <c r="Z76" s="11" t="n"/>
    </row>
    <row r="77" ht="18" customHeight="1">
      <c r="A77" s="14">
        <f>IF(B77="","",UPPER(LEFT(B77,2))&amp;TEXT(COUNTIF(B$2:B77,B77),"00"))</f>
        <v/>
      </c>
      <c r="B77" s="11" t="n"/>
      <c r="C77" s="11" t="n"/>
      <c r="D77" s="11" t="n"/>
      <c r="E77" s="11" t="n"/>
      <c r="F77" s="11" t="n"/>
      <c r="G77" s="11" t="n"/>
      <c r="H77" s="11" t="n"/>
      <c r="I77" s="11" t="n"/>
      <c r="J77" s="11" t="n"/>
      <c r="K77" s="15" t="n"/>
      <c r="L77" s="11" t="n"/>
      <c r="M77" s="11" t="n"/>
      <c r="N77" s="11" t="n"/>
      <c r="O77" s="11" t="n"/>
      <c r="P77" s="11" t="n"/>
      <c r="Q77" s="11" t="n"/>
      <c r="R77" s="14">
        <f>IF(C77="","",COUNTIF(L77:Q77,"Yes"))</f>
        <v/>
      </c>
      <c r="S77" s="11" t="n"/>
      <c r="T77" s="11" t="n"/>
      <c r="U77" s="11" t="n"/>
      <c r="V77" s="14">
        <f>IF(U77="Yes",IF(R77=6,"OK","Coverage gap"),"")</f>
        <v/>
      </c>
      <c r="W77" s="11" t="n"/>
      <c r="X77" s="11" t="n"/>
      <c r="Y77" s="15" t="n"/>
      <c r="Z77" s="11" t="n"/>
    </row>
    <row r="78" ht="18" customHeight="1">
      <c r="A78" s="14">
        <f>IF(B78="","",UPPER(LEFT(B78,2))&amp;TEXT(COUNTIF(B$2:B78,B78),"00"))</f>
        <v/>
      </c>
      <c r="B78" s="11" t="n"/>
      <c r="C78" s="11" t="n"/>
      <c r="D78" s="11" t="n"/>
      <c r="E78" s="11" t="n"/>
      <c r="F78" s="11" t="n"/>
      <c r="G78" s="11" t="n"/>
      <c r="H78" s="11" t="n"/>
      <c r="I78" s="11" t="n"/>
      <c r="J78" s="11" t="n"/>
      <c r="K78" s="15" t="n"/>
      <c r="L78" s="11" t="n"/>
      <c r="M78" s="11" t="n"/>
      <c r="N78" s="11" t="n"/>
      <c r="O78" s="11" t="n"/>
      <c r="P78" s="11" t="n"/>
      <c r="Q78" s="11" t="n"/>
      <c r="R78" s="14">
        <f>IF(C78="","",COUNTIF(L78:Q78,"Yes"))</f>
        <v/>
      </c>
      <c r="S78" s="11" t="n"/>
      <c r="T78" s="11" t="n"/>
      <c r="U78" s="11" t="n"/>
      <c r="V78" s="14">
        <f>IF(U78="Yes",IF(R78=6,"OK","Coverage gap"),"")</f>
        <v/>
      </c>
      <c r="W78" s="11" t="n"/>
      <c r="X78" s="11" t="n"/>
      <c r="Y78" s="15" t="n"/>
      <c r="Z78" s="11" t="n"/>
    </row>
    <row r="79" ht="18" customHeight="1">
      <c r="A79" s="14">
        <f>IF(B79="","",UPPER(LEFT(B79,2))&amp;TEXT(COUNTIF(B$2:B79,B79),"00"))</f>
        <v/>
      </c>
      <c r="B79" s="11" t="n"/>
      <c r="C79" s="11" t="n"/>
      <c r="D79" s="11" t="n"/>
      <c r="E79" s="11" t="n"/>
      <c r="F79" s="11" t="n"/>
      <c r="G79" s="11" t="n"/>
      <c r="H79" s="11" t="n"/>
      <c r="I79" s="11" t="n"/>
      <c r="J79" s="11" t="n"/>
      <c r="K79" s="15" t="n"/>
      <c r="L79" s="11" t="n"/>
      <c r="M79" s="11" t="n"/>
      <c r="N79" s="11" t="n"/>
      <c r="O79" s="11" t="n"/>
      <c r="P79" s="11" t="n"/>
      <c r="Q79" s="11" t="n"/>
      <c r="R79" s="14">
        <f>IF(C79="","",COUNTIF(L79:Q79,"Yes"))</f>
        <v/>
      </c>
      <c r="S79" s="11" t="n"/>
      <c r="T79" s="11" t="n"/>
      <c r="U79" s="11" t="n"/>
      <c r="V79" s="14">
        <f>IF(U79="Yes",IF(R79=6,"OK","Coverage gap"),"")</f>
        <v/>
      </c>
      <c r="W79" s="11" t="n"/>
      <c r="X79" s="11" t="n"/>
      <c r="Y79" s="15" t="n"/>
      <c r="Z79" s="11" t="n"/>
    </row>
    <row r="80" ht="18" customHeight="1">
      <c r="A80" s="14">
        <f>IF(B80="","",UPPER(LEFT(B80,2))&amp;TEXT(COUNTIF(B$2:B80,B80),"00"))</f>
        <v/>
      </c>
      <c r="B80" s="11" t="n"/>
      <c r="C80" s="11" t="n"/>
      <c r="D80" s="11" t="n"/>
      <c r="E80" s="11" t="n"/>
      <c r="F80" s="11" t="n"/>
      <c r="G80" s="11" t="n"/>
      <c r="H80" s="11" t="n"/>
      <c r="I80" s="11" t="n"/>
      <c r="J80" s="11" t="n"/>
      <c r="K80" s="15" t="n"/>
      <c r="L80" s="11" t="n"/>
      <c r="M80" s="11" t="n"/>
      <c r="N80" s="11" t="n"/>
      <c r="O80" s="11" t="n"/>
      <c r="P80" s="11" t="n"/>
      <c r="Q80" s="11" t="n"/>
      <c r="R80" s="14">
        <f>IF(C80="","",COUNTIF(L80:Q80,"Yes"))</f>
        <v/>
      </c>
      <c r="S80" s="11" t="n"/>
      <c r="T80" s="11" t="n"/>
      <c r="U80" s="11" t="n"/>
      <c r="V80" s="14">
        <f>IF(U80="Yes",IF(R80=6,"OK","Coverage gap"),"")</f>
        <v/>
      </c>
      <c r="W80" s="11" t="n"/>
      <c r="X80" s="11" t="n"/>
      <c r="Y80" s="15" t="n"/>
      <c r="Z80" s="11" t="n"/>
    </row>
    <row r="81" ht="18" customHeight="1">
      <c r="A81" s="14">
        <f>IF(B81="","",UPPER(LEFT(B81,2))&amp;TEXT(COUNTIF(B$2:B81,B81),"00"))</f>
        <v/>
      </c>
      <c r="B81" s="11" t="n"/>
      <c r="C81" s="11" t="n"/>
      <c r="D81" s="11" t="n"/>
      <c r="E81" s="11" t="n"/>
      <c r="F81" s="11" t="n"/>
      <c r="G81" s="11" t="n"/>
      <c r="H81" s="11" t="n"/>
      <c r="I81" s="11" t="n"/>
      <c r="J81" s="11" t="n"/>
      <c r="K81" s="15" t="n"/>
      <c r="L81" s="11" t="n"/>
      <c r="M81" s="11" t="n"/>
      <c r="N81" s="11" t="n"/>
      <c r="O81" s="11" t="n"/>
      <c r="P81" s="11" t="n"/>
      <c r="Q81" s="11" t="n"/>
      <c r="R81" s="14">
        <f>IF(C81="","",COUNTIF(L81:Q81,"Yes"))</f>
        <v/>
      </c>
      <c r="S81" s="11" t="n"/>
      <c r="T81" s="11" t="n"/>
      <c r="U81" s="11" t="n"/>
      <c r="V81" s="14">
        <f>IF(U81="Yes",IF(R81=6,"OK","Coverage gap"),"")</f>
        <v/>
      </c>
      <c r="W81" s="11" t="n"/>
      <c r="X81" s="11" t="n"/>
      <c r="Y81" s="15" t="n"/>
      <c r="Z81" s="11" t="n"/>
    </row>
    <row r="82" ht="18" customHeight="1">
      <c r="A82" s="14">
        <f>IF(B82="","",UPPER(LEFT(B82,2))&amp;TEXT(COUNTIF(B$2:B82,B82),"00"))</f>
        <v/>
      </c>
      <c r="B82" s="11" t="n"/>
      <c r="C82" s="11" t="n"/>
      <c r="D82" s="11" t="n"/>
      <c r="E82" s="11" t="n"/>
      <c r="F82" s="11" t="n"/>
      <c r="G82" s="11" t="n"/>
      <c r="H82" s="11" t="n"/>
      <c r="I82" s="11" t="n"/>
      <c r="J82" s="11" t="n"/>
      <c r="K82" s="15" t="n"/>
      <c r="L82" s="11" t="n"/>
      <c r="M82" s="11" t="n"/>
      <c r="N82" s="11" t="n"/>
      <c r="O82" s="11" t="n"/>
      <c r="P82" s="11" t="n"/>
      <c r="Q82" s="11" t="n"/>
      <c r="R82" s="14">
        <f>IF(C82="","",COUNTIF(L82:Q82,"Yes"))</f>
        <v/>
      </c>
      <c r="S82" s="11" t="n"/>
      <c r="T82" s="11" t="n"/>
      <c r="U82" s="11" t="n"/>
      <c r="V82" s="14">
        <f>IF(U82="Yes",IF(R82=6,"OK","Coverage gap"),"")</f>
        <v/>
      </c>
      <c r="W82" s="11" t="n"/>
      <c r="X82" s="11" t="n"/>
      <c r="Y82" s="15" t="n"/>
      <c r="Z82" s="11" t="n"/>
    </row>
    <row r="83" ht="18" customHeight="1">
      <c r="A83" s="14">
        <f>IF(B83="","",UPPER(LEFT(B83,2))&amp;TEXT(COUNTIF(B$2:B83,B83),"00"))</f>
        <v/>
      </c>
      <c r="B83" s="11" t="n"/>
      <c r="C83" s="11" t="n"/>
      <c r="D83" s="11" t="n"/>
      <c r="E83" s="11" t="n"/>
      <c r="F83" s="11" t="n"/>
      <c r="G83" s="11" t="n"/>
      <c r="H83" s="11" t="n"/>
      <c r="I83" s="11" t="n"/>
      <c r="J83" s="11" t="n"/>
      <c r="K83" s="15" t="n"/>
      <c r="L83" s="11" t="n"/>
      <c r="M83" s="11" t="n"/>
      <c r="N83" s="11" t="n"/>
      <c r="O83" s="11" t="n"/>
      <c r="P83" s="11" t="n"/>
      <c r="Q83" s="11" t="n"/>
      <c r="R83" s="14">
        <f>IF(C83="","",COUNTIF(L83:Q83,"Yes"))</f>
        <v/>
      </c>
      <c r="S83" s="11" t="n"/>
      <c r="T83" s="11" t="n"/>
      <c r="U83" s="11" t="n"/>
      <c r="V83" s="14">
        <f>IF(U83="Yes",IF(R83=6,"OK","Coverage gap"),"")</f>
        <v/>
      </c>
      <c r="W83" s="11" t="n"/>
      <c r="X83" s="11" t="n"/>
      <c r="Y83" s="15" t="n"/>
      <c r="Z83" s="11" t="n"/>
    </row>
    <row r="84" ht="18" customHeight="1">
      <c r="A84" s="14">
        <f>IF(B84="","",UPPER(LEFT(B84,2))&amp;TEXT(COUNTIF(B$2:B84,B84),"00"))</f>
        <v/>
      </c>
      <c r="B84" s="11" t="n"/>
      <c r="C84" s="11" t="n"/>
      <c r="D84" s="11" t="n"/>
      <c r="E84" s="11" t="n"/>
      <c r="F84" s="11" t="n"/>
      <c r="G84" s="11" t="n"/>
      <c r="H84" s="11" t="n"/>
      <c r="I84" s="11" t="n"/>
      <c r="J84" s="11" t="n"/>
      <c r="K84" s="15" t="n"/>
      <c r="L84" s="11" t="n"/>
      <c r="M84" s="11" t="n"/>
      <c r="N84" s="11" t="n"/>
      <c r="O84" s="11" t="n"/>
      <c r="P84" s="11" t="n"/>
      <c r="Q84" s="11" t="n"/>
      <c r="R84" s="14">
        <f>IF(C84="","",COUNTIF(L84:Q84,"Yes"))</f>
        <v/>
      </c>
      <c r="S84" s="11" t="n"/>
      <c r="T84" s="11" t="n"/>
      <c r="U84" s="11" t="n"/>
      <c r="V84" s="14">
        <f>IF(U84="Yes",IF(R84=6,"OK","Coverage gap"),"")</f>
        <v/>
      </c>
      <c r="W84" s="11" t="n"/>
      <c r="X84" s="11" t="n"/>
      <c r="Y84" s="15" t="n"/>
      <c r="Z84" s="11" t="n"/>
    </row>
    <row r="85" ht="18" customHeight="1">
      <c r="A85" s="14">
        <f>IF(B85="","",UPPER(LEFT(B85,2))&amp;TEXT(COUNTIF(B$2:B85,B85),"00"))</f>
        <v/>
      </c>
      <c r="B85" s="11" t="n"/>
      <c r="C85" s="11" t="n"/>
      <c r="D85" s="11" t="n"/>
      <c r="E85" s="11" t="n"/>
      <c r="F85" s="11" t="n"/>
      <c r="G85" s="11" t="n"/>
      <c r="H85" s="11" t="n"/>
      <c r="I85" s="11" t="n"/>
      <c r="J85" s="11" t="n"/>
      <c r="K85" s="15" t="n"/>
      <c r="L85" s="11" t="n"/>
      <c r="M85" s="11" t="n"/>
      <c r="N85" s="11" t="n"/>
      <c r="O85" s="11" t="n"/>
      <c r="P85" s="11" t="n"/>
      <c r="Q85" s="11" t="n"/>
      <c r="R85" s="14">
        <f>IF(C85="","",COUNTIF(L85:Q85,"Yes"))</f>
        <v/>
      </c>
      <c r="S85" s="11" t="n"/>
      <c r="T85" s="11" t="n"/>
      <c r="U85" s="11" t="n"/>
      <c r="V85" s="14">
        <f>IF(U85="Yes",IF(R85=6,"OK","Coverage gap"),"")</f>
        <v/>
      </c>
      <c r="W85" s="11" t="n"/>
      <c r="X85" s="11" t="n"/>
      <c r="Y85" s="15" t="n"/>
      <c r="Z85" s="11" t="n"/>
    </row>
    <row r="86" ht="18" customHeight="1">
      <c r="A86" s="14">
        <f>IF(B86="","",UPPER(LEFT(B86,2))&amp;TEXT(COUNTIF(B$2:B86,B86),"00"))</f>
        <v/>
      </c>
      <c r="B86" s="11" t="n"/>
      <c r="C86" s="11" t="n"/>
      <c r="D86" s="11" t="n"/>
      <c r="E86" s="11" t="n"/>
      <c r="F86" s="11" t="n"/>
      <c r="G86" s="11" t="n"/>
      <c r="H86" s="11" t="n"/>
      <c r="I86" s="11" t="n"/>
      <c r="J86" s="11" t="n"/>
      <c r="K86" s="15" t="n"/>
      <c r="L86" s="11" t="n"/>
      <c r="M86" s="11" t="n"/>
      <c r="N86" s="11" t="n"/>
      <c r="O86" s="11" t="n"/>
      <c r="P86" s="11" t="n"/>
      <c r="Q86" s="11" t="n"/>
      <c r="R86" s="14">
        <f>IF(C86="","",COUNTIF(L86:Q86,"Yes"))</f>
        <v/>
      </c>
      <c r="S86" s="11" t="n"/>
      <c r="T86" s="11" t="n"/>
      <c r="U86" s="11" t="n"/>
      <c r="V86" s="14">
        <f>IF(U86="Yes",IF(R86=6,"OK","Coverage gap"),"")</f>
        <v/>
      </c>
      <c r="W86" s="11" t="n"/>
      <c r="X86" s="11" t="n"/>
      <c r="Y86" s="15" t="n"/>
      <c r="Z86" s="11" t="n"/>
    </row>
    <row r="87" ht="18" customHeight="1">
      <c r="A87" s="14">
        <f>IF(B87="","",UPPER(LEFT(B87,2))&amp;TEXT(COUNTIF(B$2:B87,B87),"00"))</f>
        <v/>
      </c>
      <c r="B87" s="11" t="n"/>
      <c r="C87" s="11" t="n"/>
      <c r="D87" s="11" t="n"/>
      <c r="E87" s="11" t="n"/>
      <c r="F87" s="11" t="n"/>
      <c r="G87" s="11" t="n"/>
      <c r="H87" s="11" t="n"/>
      <c r="I87" s="11" t="n"/>
      <c r="J87" s="11" t="n"/>
      <c r="K87" s="15" t="n"/>
      <c r="L87" s="11" t="n"/>
      <c r="M87" s="11" t="n"/>
      <c r="N87" s="11" t="n"/>
      <c r="O87" s="11" t="n"/>
      <c r="P87" s="11" t="n"/>
      <c r="Q87" s="11" t="n"/>
      <c r="R87" s="14">
        <f>IF(C87="","",COUNTIF(L87:Q87,"Yes"))</f>
        <v/>
      </c>
      <c r="S87" s="11" t="n"/>
      <c r="T87" s="11" t="n"/>
      <c r="U87" s="11" t="n"/>
      <c r="V87" s="14">
        <f>IF(U87="Yes",IF(R87=6,"OK","Coverage gap"),"")</f>
        <v/>
      </c>
      <c r="W87" s="11" t="n"/>
      <c r="X87" s="11" t="n"/>
      <c r="Y87" s="15" t="n"/>
      <c r="Z87" s="11" t="n"/>
    </row>
    <row r="88" ht="18" customHeight="1">
      <c r="A88" s="14">
        <f>IF(B88="","",UPPER(LEFT(B88,2))&amp;TEXT(COUNTIF(B$2:B88,B88),"00"))</f>
        <v/>
      </c>
      <c r="B88" s="11" t="n"/>
      <c r="C88" s="11" t="n"/>
      <c r="D88" s="11" t="n"/>
      <c r="E88" s="11" t="n"/>
      <c r="F88" s="11" t="n"/>
      <c r="G88" s="11" t="n"/>
      <c r="H88" s="11" t="n"/>
      <c r="I88" s="11" t="n"/>
      <c r="J88" s="11" t="n"/>
      <c r="K88" s="15" t="n"/>
      <c r="L88" s="11" t="n"/>
      <c r="M88" s="11" t="n"/>
      <c r="N88" s="11" t="n"/>
      <c r="O88" s="11" t="n"/>
      <c r="P88" s="11" t="n"/>
      <c r="Q88" s="11" t="n"/>
      <c r="R88" s="14">
        <f>IF(C88="","",COUNTIF(L88:Q88,"Yes"))</f>
        <v/>
      </c>
      <c r="S88" s="11" t="n"/>
      <c r="T88" s="11" t="n"/>
      <c r="U88" s="11" t="n"/>
      <c r="V88" s="14">
        <f>IF(U88="Yes",IF(R88=6,"OK","Coverage gap"),"")</f>
        <v/>
      </c>
      <c r="W88" s="11" t="n"/>
      <c r="X88" s="11" t="n"/>
      <c r="Y88" s="15" t="n"/>
      <c r="Z88" s="11" t="n"/>
    </row>
    <row r="89" ht="18" customHeight="1">
      <c r="A89" s="14">
        <f>IF(B89="","",UPPER(LEFT(B89,2))&amp;TEXT(COUNTIF(B$2:B89,B89),"00"))</f>
        <v/>
      </c>
      <c r="B89" s="11" t="n"/>
      <c r="C89" s="11" t="n"/>
      <c r="D89" s="11" t="n"/>
      <c r="E89" s="11" t="n"/>
      <c r="F89" s="11" t="n"/>
      <c r="G89" s="11" t="n"/>
      <c r="H89" s="11" t="n"/>
      <c r="I89" s="11" t="n"/>
      <c r="J89" s="11" t="n"/>
      <c r="K89" s="15" t="n"/>
      <c r="L89" s="11" t="n"/>
      <c r="M89" s="11" t="n"/>
      <c r="N89" s="11" t="n"/>
      <c r="O89" s="11" t="n"/>
      <c r="P89" s="11" t="n"/>
      <c r="Q89" s="11" t="n"/>
      <c r="R89" s="14">
        <f>IF(C89="","",COUNTIF(L89:Q89,"Yes"))</f>
        <v/>
      </c>
      <c r="S89" s="11" t="n"/>
      <c r="T89" s="11" t="n"/>
      <c r="U89" s="11" t="n"/>
      <c r="V89" s="14">
        <f>IF(U89="Yes",IF(R89=6,"OK","Coverage gap"),"")</f>
        <v/>
      </c>
      <c r="W89" s="11" t="n"/>
      <c r="X89" s="11" t="n"/>
      <c r="Y89" s="15" t="n"/>
      <c r="Z89" s="11" t="n"/>
    </row>
    <row r="90" ht="18" customHeight="1">
      <c r="A90" s="14">
        <f>IF(B90="","",UPPER(LEFT(B90,2))&amp;TEXT(COUNTIF(B$2:B90,B90),"00"))</f>
        <v/>
      </c>
      <c r="B90" s="11" t="n"/>
      <c r="C90" s="11" t="n"/>
      <c r="D90" s="11" t="n"/>
      <c r="E90" s="11" t="n"/>
      <c r="F90" s="11" t="n"/>
      <c r="G90" s="11" t="n"/>
      <c r="H90" s="11" t="n"/>
      <c r="I90" s="11" t="n"/>
      <c r="J90" s="11" t="n"/>
      <c r="K90" s="15" t="n"/>
      <c r="L90" s="11" t="n"/>
      <c r="M90" s="11" t="n"/>
      <c r="N90" s="11" t="n"/>
      <c r="O90" s="11" t="n"/>
      <c r="P90" s="11" t="n"/>
      <c r="Q90" s="11" t="n"/>
      <c r="R90" s="14">
        <f>IF(C90="","",COUNTIF(L90:Q90,"Yes"))</f>
        <v/>
      </c>
      <c r="S90" s="11" t="n"/>
      <c r="T90" s="11" t="n"/>
      <c r="U90" s="11" t="n"/>
      <c r="V90" s="14">
        <f>IF(U90="Yes",IF(R90=6,"OK","Coverage gap"),"")</f>
        <v/>
      </c>
      <c r="W90" s="11" t="n"/>
      <c r="X90" s="11" t="n"/>
      <c r="Y90" s="15" t="n"/>
      <c r="Z90" s="11" t="n"/>
    </row>
    <row r="91" ht="18" customHeight="1">
      <c r="A91" s="14">
        <f>IF(B91="","",UPPER(LEFT(B91,2))&amp;TEXT(COUNTIF(B$2:B91,B91),"00"))</f>
        <v/>
      </c>
      <c r="B91" s="11" t="n"/>
      <c r="C91" s="11" t="n"/>
      <c r="D91" s="11" t="n"/>
      <c r="E91" s="11" t="n"/>
      <c r="F91" s="11" t="n"/>
      <c r="G91" s="11" t="n"/>
      <c r="H91" s="11" t="n"/>
      <c r="I91" s="11" t="n"/>
      <c r="J91" s="11" t="n"/>
      <c r="K91" s="15" t="n"/>
      <c r="L91" s="11" t="n"/>
      <c r="M91" s="11" t="n"/>
      <c r="N91" s="11" t="n"/>
      <c r="O91" s="11" t="n"/>
      <c r="P91" s="11" t="n"/>
      <c r="Q91" s="11" t="n"/>
      <c r="R91" s="14">
        <f>IF(C91="","",COUNTIF(L91:Q91,"Yes"))</f>
        <v/>
      </c>
      <c r="S91" s="11" t="n"/>
      <c r="T91" s="11" t="n"/>
      <c r="U91" s="11" t="n"/>
      <c r="V91" s="14">
        <f>IF(U91="Yes",IF(R91=6,"OK","Coverage gap"),"")</f>
        <v/>
      </c>
      <c r="W91" s="11" t="n"/>
      <c r="X91" s="11" t="n"/>
      <c r="Y91" s="15" t="n"/>
      <c r="Z91" s="11" t="n"/>
    </row>
    <row r="92" ht="18" customHeight="1">
      <c r="A92" s="14">
        <f>IF(B92="","",UPPER(LEFT(B92,2))&amp;TEXT(COUNTIF(B$2:B92,B92),"00"))</f>
        <v/>
      </c>
      <c r="B92" s="11" t="n"/>
      <c r="C92" s="11" t="n"/>
      <c r="D92" s="11" t="n"/>
      <c r="E92" s="11" t="n"/>
      <c r="F92" s="11" t="n"/>
      <c r="G92" s="11" t="n"/>
      <c r="H92" s="11" t="n"/>
      <c r="I92" s="11" t="n"/>
      <c r="J92" s="11" t="n"/>
      <c r="K92" s="15" t="n"/>
      <c r="L92" s="11" t="n"/>
      <c r="M92" s="11" t="n"/>
      <c r="N92" s="11" t="n"/>
      <c r="O92" s="11" t="n"/>
      <c r="P92" s="11" t="n"/>
      <c r="Q92" s="11" t="n"/>
      <c r="R92" s="14">
        <f>IF(C92="","",COUNTIF(L92:Q92,"Yes"))</f>
        <v/>
      </c>
      <c r="S92" s="11" t="n"/>
      <c r="T92" s="11" t="n"/>
      <c r="U92" s="11" t="n"/>
      <c r="V92" s="14">
        <f>IF(U92="Yes",IF(R92=6,"OK","Coverage gap"),"")</f>
        <v/>
      </c>
      <c r="W92" s="11" t="n"/>
      <c r="X92" s="11" t="n"/>
      <c r="Y92" s="15" t="n"/>
      <c r="Z92" s="11" t="n"/>
    </row>
    <row r="93" ht="18" customHeight="1">
      <c r="A93" s="14">
        <f>IF(B93="","",UPPER(LEFT(B93,2))&amp;TEXT(COUNTIF(B$2:B93,B93),"00"))</f>
        <v/>
      </c>
      <c r="B93" s="11" t="n"/>
      <c r="C93" s="11" t="n"/>
      <c r="D93" s="11" t="n"/>
      <c r="E93" s="11" t="n"/>
      <c r="F93" s="11" t="n"/>
      <c r="G93" s="11" t="n"/>
      <c r="H93" s="11" t="n"/>
      <c r="I93" s="11" t="n"/>
      <c r="J93" s="11" t="n"/>
      <c r="K93" s="15" t="n"/>
      <c r="L93" s="11" t="n"/>
      <c r="M93" s="11" t="n"/>
      <c r="N93" s="11" t="n"/>
      <c r="O93" s="11" t="n"/>
      <c r="P93" s="11" t="n"/>
      <c r="Q93" s="11" t="n"/>
      <c r="R93" s="14">
        <f>IF(C93="","",COUNTIF(L93:Q93,"Yes"))</f>
        <v/>
      </c>
      <c r="S93" s="11" t="n"/>
      <c r="T93" s="11" t="n"/>
      <c r="U93" s="11" t="n"/>
      <c r="V93" s="14">
        <f>IF(U93="Yes",IF(R93=6,"OK","Coverage gap"),"")</f>
        <v/>
      </c>
      <c r="W93" s="11" t="n"/>
      <c r="X93" s="11" t="n"/>
      <c r="Y93" s="15" t="n"/>
      <c r="Z93" s="11" t="n"/>
    </row>
    <row r="94" ht="18" customHeight="1">
      <c r="A94" s="14">
        <f>IF(B94="","",UPPER(LEFT(B94,2))&amp;TEXT(COUNTIF(B$2:B94,B94),"00"))</f>
        <v/>
      </c>
      <c r="B94" s="11" t="n"/>
      <c r="C94" s="11" t="n"/>
      <c r="D94" s="11" t="n"/>
      <c r="E94" s="11" t="n"/>
      <c r="F94" s="11" t="n"/>
      <c r="G94" s="11" t="n"/>
      <c r="H94" s="11" t="n"/>
      <c r="I94" s="11" t="n"/>
      <c r="J94" s="11" t="n"/>
      <c r="K94" s="15" t="n"/>
      <c r="L94" s="11" t="n"/>
      <c r="M94" s="11" t="n"/>
      <c r="N94" s="11" t="n"/>
      <c r="O94" s="11" t="n"/>
      <c r="P94" s="11" t="n"/>
      <c r="Q94" s="11" t="n"/>
      <c r="R94" s="14">
        <f>IF(C94="","",COUNTIF(L94:Q94,"Yes"))</f>
        <v/>
      </c>
      <c r="S94" s="11" t="n"/>
      <c r="T94" s="11" t="n"/>
      <c r="U94" s="11" t="n"/>
      <c r="V94" s="14">
        <f>IF(U94="Yes",IF(R94=6,"OK","Coverage gap"),"")</f>
        <v/>
      </c>
      <c r="W94" s="11" t="n"/>
      <c r="X94" s="11" t="n"/>
      <c r="Y94" s="15" t="n"/>
      <c r="Z94" s="11" t="n"/>
    </row>
    <row r="95" ht="18" customHeight="1">
      <c r="A95" s="14">
        <f>IF(B95="","",UPPER(LEFT(B95,2))&amp;TEXT(COUNTIF(B$2:B95,B95),"00"))</f>
        <v/>
      </c>
      <c r="B95" s="11" t="n"/>
      <c r="C95" s="11" t="n"/>
      <c r="D95" s="11" t="n"/>
      <c r="E95" s="11" t="n"/>
      <c r="F95" s="11" t="n"/>
      <c r="G95" s="11" t="n"/>
      <c r="H95" s="11" t="n"/>
      <c r="I95" s="11" t="n"/>
      <c r="J95" s="11" t="n"/>
      <c r="K95" s="15" t="n"/>
      <c r="L95" s="11" t="n"/>
      <c r="M95" s="11" t="n"/>
      <c r="N95" s="11" t="n"/>
      <c r="O95" s="11" t="n"/>
      <c r="P95" s="11" t="n"/>
      <c r="Q95" s="11" t="n"/>
      <c r="R95" s="14">
        <f>IF(C95="","",COUNTIF(L95:Q95,"Yes"))</f>
        <v/>
      </c>
      <c r="S95" s="11" t="n"/>
      <c r="T95" s="11" t="n"/>
      <c r="U95" s="11" t="n"/>
      <c r="V95" s="14">
        <f>IF(U95="Yes",IF(R95=6,"OK","Coverage gap"),"")</f>
        <v/>
      </c>
      <c r="W95" s="11" t="n"/>
      <c r="X95" s="11" t="n"/>
      <c r="Y95" s="15" t="n"/>
      <c r="Z95" s="11" t="n"/>
    </row>
    <row r="96" ht="18" customHeight="1">
      <c r="A96" s="14">
        <f>IF(B96="","",UPPER(LEFT(B96,2))&amp;TEXT(COUNTIF(B$2:B96,B96),"00"))</f>
        <v/>
      </c>
      <c r="B96" s="11" t="n"/>
      <c r="C96" s="11" t="n"/>
      <c r="D96" s="11" t="n"/>
      <c r="E96" s="11" t="n"/>
      <c r="F96" s="11" t="n"/>
      <c r="G96" s="11" t="n"/>
      <c r="H96" s="11" t="n"/>
      <c r="I96" s="11" t="n"/>
      <c r="J96" s="11" t="n"/>
      <c r="K96" s="15" t="n"/>
      <c r="L96" s="11" t="n"/>
      <c r="M96" s="11" t="n"/>
      <c r="N96" s="11" t="n"/>
      <c r="O96" s="11" t="n"/>
      <c r="P96" s="11" t="n"/>
      <c r="Q96" s="11" t="n"/>
      <c r="R96" s="14">
        <f>IF(C96="","",COUNTIF(L96:Q96,"Yes"))</f>
        <v/>
      </c>
      <c r="S96" s="11" t="n"/>
      <c r="T96" s="11" t="n"/>
      <c r="U96" s="11" t="n"/>
      <c r="V96" s="14">
        <f>IF(U96="Yes",IF(R96=6,"OK","Coverage gap"),"")</f>
        <v/>
      </c>
      <c r="W96" s="11" t="n"/>
      <c r="X96" s="11" t="n"/>
      <c r="Y96" s="15" t="n"/>
      <c r="Z96" s="11" t="n"/>
    </row>
    <row r="97" ht="18" customHeight="1">
      <c r="A97" s="14">
        <f>IF(B97="","",UPPER(LEFT(B97,2))&amp;TEXT(COUNTIF(B$2:B97,B97),"00"))</f>
        <v/>
      </c>
      <c r="B97" s="11" t="n"/>
      <c r="C97" s="11" t="n"/>
      <c r="D97" s="11" t="n"/>
      <c r="E97" s="11" t="n"/>
      <c r="F97" s="11" t="n"/>
      <c r="G97" s="11" t="n"/>
      <c r="H97" s="11" t="n"/>
      <c r="I97" s="11" t="n"/>
      <c r="J97" s="11" t="n"/>
      <c r="K97" s="15" t="n"/>
      <c r="L97" s="11" t="n"/>
      <c r="M97" s="11" t="n"/>
      <c r="N97" s="11" t="n"/>
      <c r="O97" s="11" t="n"/>
      <c r="P97" s="11" t="n"/>
      <c r="Q97" s="11" t="n"/>
      <c r="R97" s="14">
        <f>IF(C97="","",COUNTIF(L97:Q97,"Yes"))</f>
        <v/>
      </c>
      <c r="S97" s="11" t="n"/>
      <c r="T97" s="11" t="n"/>
      <c r="U97" s="11" t="n"/>
      <c r="V97" s="14">
        <f>IF(U97="Yes",IF(R97=6,"OK","Coverage gap"),"")</f>
        <v/>
      </c>
      <c r="W97" s="11" t="n"/>
      <c r="X97" s="11" t="n"/>
      <c r="Y97" s="15" t="n"/>
      <c r="Z97" s="11" t="n"/>
    </row>
    <row r="98" ht="18" customHeight="1">
      <c r="A98" s="14">
        <f>IF(B98="","",UPPER(LEFT(B98,2))&amp;TEXT(COUNTIF(B$2:B98,B98),"00"))</f>
        <v/>
      </c>
      <c r="B98" s="11" t="n"/>
      <c r="C98" s="11" t="n"/>
      <c r="D98" s="11" t="n"/>
      <c r="E98" s="11" t="n"/>
      <c r="F98" s="11" t="n"/>
      <c r="G98" s="11" t="n"/>
      <c r="H98" s="11" t="n"/>
      <c r="I98" s="11" t="n"/>
      <c r="J98" s="11" t="n"/>
      <c r="K98" s="15" t="n"/>
      <c r="L98" s="11" t="n"/>
      <c r="M98" s="11" t="n"/>
      <c r="N98" s="11" t="n"/>
      <c r="O98" s="11" t="n"/>
      <c r="P98" s="11" t="n"/>
      <c r="Q98" s="11" t="n"/>
      <c r="R98" s="14">
        <f>IF(C98="","",COUNTIF(L98:Q98,"Yes"))</f>
        <v/>
      </c>
      <c r="S98" s="11" t="n"/>
      <c r="T98" s="11" t="n"/>
      <c r="U98" s="11" t="n"/>
      <c r="V98" s="14">
        <f>IF(U98="Yes",IF(R98=6,"OK","Coverage gap"),"")</f>
        <v/>
      </c>
      <c r="W98" s="11" t="n"/>
      <c r="X98" s="11" t="n"/>
      <c r="Y98" s="15" t="n"/>
      <c r="Z98" s="11" t="n"/>
    </row>
    <row r="99" ht="18" customHeight="1">
      <c r="A99" s="14">
        <f>IF(B99="","",UPPER(LEFT(B99,2))&amp;TEXT(COUNTIF(B$2:B99,B99),"00"))</f>
        <v/>
      </c>
      <c r="B99" s="11" t="n"/>
      <c r="C99" s="11" t="n"/>
      <c r="D99" s="11" t="n"/>
      <c r="E99" s="11" t="n"/>
      <c r="F99" s="11" t="n"/>
      <c r="G99" s="11" t="n"/>
      <c r="H99" s="11" t="n"/>
      <c r="I99" s="11" t="n"/>
      <c r="J99" s="11" t="n"/>
      <c r="K99" s="15" t="n"/>
      <c r="L99" s="11" t="n"/>
      <c r="M99" s="11" t="n"/>
      <c r="N99" s="11" t="n"/>
      <c r="O99" s="11" t="n"/>
      <c r="P99" s="11" t="n"/>
      <c r="Q99" s="11" t="n"/>
      <c r="R99" s="14">
        <f>IF(C99="","",COUNTIF(L99:Q99,"Yes"))</f>
        <v/>
      </c>
      <c r="S99" s="11" t="n"/>
      <c r="T99" s="11" t="n"/>
      <c r="U99" s="11" t="n"/>
      <c r="V99" s="14">
        <f>IF(U99="Yes",IF(R99=6,"OK","Coverage gap"),"")</f>
        <v/>
      </c>
      <c r="W99" s="11" t="n"/>
      <c r="X99" s="11" t="n"/>
      <c r="Y99" s="15" t="n"/>
      <c r="Z99" s="11" t="n"/>
    </row>
    <row r="100" ht="18" customHeight="1">
      <c r="A100" s="14">
        <f>IF(B100="","",UPPER(LEFT(B100,2))&amp;TEXT(COUNTIF(B$2:B100,B100),"00"))</f>
        <v/>
      </c>
      <c r="B100" s="11" t="n"/>
      <c r="C100" s="11" t="n"/>
      <c r="D100" s="11" t="n"/>
      <c r="E100" s="11" t="n"/>
      <c r="F100" s="11" t="n"/>
      <c r="G100" s="11" t="n"/>
      <c r="H100" s="11" t="n"/>
      <c r="I100" s="11" t="n"/>
      <c r="J100" s="11" t="n"/>
      <c r="K100" s="15" t="n"/>
      <c r="L100" s="11" t="n"/>
      <c r="M100" s="11" t="n"/>
      <c r="N100" s="11" t="n"/>
      <c r="O100" s="11" t="n"/>
      <c r="P100" s="11" t="n"/>
      <c r="Q100" s="11" t="n"/>
      <c r="R100" s="14">
        <f>IF(C100="","",COUNTIF(L100:Q100,"Yes"))</f>
        <v/>
      </c>
      <c r="S100" s="11" t="n"/>
      <c r="T100" s="11" t="n"/>
      <c r="U100" s="11" t="n"/>
      <c r="V100" s="14">
        <f>IF(U100="Yes",IF(R100=6,"OK","Coverage gap"),"")</f>
        <v/>
      </c>
      <c r="W100" s="11" t="n"/>
      <c r="X100" s="11" t="n"/>
      <c r="Y100" s="15" t="n"/>
      <c r="Z100" s="11" t="n"/>
    </row>
  </sheetData>
  <autoFilter ref="A1:Z100"/>
  <conditionalFormatting sqref="L2:Q100">
    <cfRule type="cellIs" priority="1" operator="equal" dxfId="0">
      <formula>"Yes"</formula>
    </cfRule>
    <cfRule type="cellIs" priority="2" operator="equal" dxfId="1">
      <formula>"Partly"</formula>
    </cfRule>
    <cfRule type="cellIs" priority="3" operator="equal" dxfId="2">
      <formula>"No"</formula>
    </cfRule>
  </conditionalFormatting>
  <conditionalFormatting sqref="U2:U100">
    <cfRule type="cellIs" priority="4" operator="equal" dxfId="0">
      <formula>"Yes"</formula>
    </cfRule>
  </conditionalFormatting>
  <conditionalFormatting sqref="V2:V100">
    <cfRule type="cellIs" priority="5" operator="equal" dxfId="3">
      <formula>"Coverage gap"</formula>
    </cfRule>
  </conditionalFormatting>
  <dataValidations count="14">
    <dataValidation sqref="B2:B100" showDropDown="0" showInputMessage="0" showErrorMessage="1" allowBlank="1" errorTitle="Choose from the list" error="Please choose a value from the list." type="list">
      <formula1>"Political,Economic,Social,Technological,Environmental,Legal"</formula1>
    </dataValidation>
    <dataValidation sqref="E2:E100" showDropDown="0" showInputMessage="0" showErrorMessage="1" allowBlank="1" errorTitle="Choose from the list" error="Please choose a value from the list." type="list">
      <formula1>"Premium coffee segment,Tourism and hotels,Purchasing power,Competitive landscape,Import and regulation,Coffee culture,Other (explain)"</formula1>
    </dataValidation>
    <dataValidation sqref="F2:F100" showDropDown="0" showInputMessage="0" showErrorMessage="1" allowBlank="1" errorTitle="Choose from the list" error="Please choose a value from the list." type="list">
      <formula1>"Quantitative,Qualitative rubric"</formula1>
    </dataValidation>
    <dataValidation sqref="H2:H100" showDropDown="0" showInputMessage="0" showErrorMessage="1" allowBlank="1" errorTitle="Choose from the list" error="Please choose a value from the list." type="list">
      <formula1>"Higher is better,Lower is better,Decide and explain"</formula1>
    </dataValidation>
    <dataValidation sqref="L2:L100" showDropDown="0" showInputMessage="0" showErrorMessage="1" allowBlank="1" errorTitle="Choose from the list" error="Please choose a value from the list." type="list">
      <formula1>"Yes,Partly,No,Not checked"</formula1>
    </dataValidation>
    <dataValidation sqref="M2:M100" showDropDown="0" showInputMessage="0" showErrorMessage="1" allowBlank="1" errorTitle="Choose from the list" error="Please choose a value from the list." type="list">
      <formula1>"Yes,Partly,No,Not checked"</formula1>
    </dataValidation>
    <dataValidation sqref="N2:N100" showDropDown="0" showInputMessage="0" showErrorMessage="1" allowBlank="1" errorTitle="Choose from the list" error="Please choose a value from the list." type="list">
      <formula1>"Yes,Partly,No,Not checked"</formula1>
    </dataValidation>
    <dataValidation sqref="O2:O100" showDropDown="0" showInputMessage="0" showErrorMessage="1" allowBlank="1" errorTitle="Choose from the list" error="Please choose a value from the list." type="list">
      <formula1>"Yes,Partly,No,Not checked"</formula1>
    </dataValidation>
    <dataValidation sqref="P2:P100" showDropDown="0" showInputMessage="0" showErrorMessage="1" allowBlank="1" errorTitle="Choose from the list" error="Please choose a value from the list." type="list">
      <formula1>"Yes,Partly,No,Not checked"</formula1>
    </dataValidation>
    <dataValidation sqref="Q2:Q100" showDropDown="0" showInputMessage="0" showErrorMessage="1" allowBlank="1" errorTitle="Choose from the list" error="Please choose a value from the list." type="list">
      <formula1>"Yes,Partly,No,Not checked"</formula1>
    </dataValidation>
    <dataValidation sqref="S2:S100" showDropDown="0" showInputMessage="0" showErrorMessage="1" allowBlank="1" errorTitle="Choose from the list" error="Please choose a value from the list." type="list">
      <formula1>"1,2,3,4,5"</formula1>
    </dataValidation>
    <dataValidation sqref="T2:T100" showDropDown="0" showInputMessage="0" showErrorMessage="1" allowBlank="1" errorTitle="Choose from the list" error="Please choose a value from the list." type="list">
      <formula1>"1,2,3,4,5"</formula1>
    </dataValidation>
    <dataValidation sqref="U2:U100" showDropDown="0" showInputMessage="0" showErrorMessage="1" allowBlank="1" errorTitle="Choose from the list" error="Please choose a value from the list." type="list">
      <formula1>"Yes,No"</formula1>
    </dataValidation>
    <dataValidation sqref="W2:W100" showDropDown="0" showInputMessage="0" showErrorMessage="1" allowBlank="1" errorTitle="Choose from the list" error="Please choose a value from the list." type="list">
      <formula1>"Instructor,Group"</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showGridLines="1" workbookViewId="0">
      <pane ySplit="3" topLeftCell="A4" activePane="bottomLeft" state="frozen"/>
      <selection pane="bottomLeft" activeCell="A1" sqref="A1"/>
    </sheetView>
  </sheetViews>
  <sheetFormatPr baseColWidth="8" defaultRowHeight="15"/>
  <cols>
    <col width="40" customWidth="1" min="1" max="1"/>
    <col width="20" customWidth="1" min="2" max="2"/>
    <col width="20" customWidth="1" min="3" max="3"/>
    <col width="20" customWidth="1" min="4" max="4"/>
    <col width="34" customWidth="1" min="5" max="5"/>
    <col width="40" customWidth="1" min="6" max="6"/>
  </cols>
  <sheetData>
    <row r="1">
      <c r="A1" s="1" t="inlineStr">
        <is>
          <t>Summary of your indicator search</t>
        </is>
      </c>
    </row>
    <row r="2">
      <c r="A2" s="2" t="inlineStr">
        <is>
          <t>All figures on this tab are calculated from the Long list. Only the three blue settings can be changed, and only by the instructor.</t>
        </is>
      </c>
    </row>
    <row r="4">
      <c r="A4" s="10" t="inlineStr">
        <is>
          <t>Target: indicators to find per dimension</t>
        </is>
      </c>
      <c r="B4" s="11" t="inlineStr">
        <is>
          <t>See column F (45 in total)</t>
        </is>
      </c>
    </row>
    <row r="5">
      <c r="A5" s="10" t="inlineStr">
        <is>
          <t>Proposals: minimum number of indicators (each group)</t>
        </is>
      </c>
      <c r="B5" s="11" t="n">
        <v>45</v>
      </c>
    </row>
    <row r="6">
      <c r="A6" s="10" t="inlineStr">
        <is>
          <t>Proposals: maximum number of indicators</t>
        </is>
      </c>
      <c r="B6" s="11" t="n">
        <v>60</v>
      </c>
    </row>
    <row r="8">
      <c r="A8" s="9" t="inlineStr">
        <is>
          <t>PESTEL dimension</t>
        </is>
      </c>
      <c r="B8" s="9" t="inlineStr">
        <is>
          <t>Candidate indicators</t>
        </is>
      </c>
      <c r="C8" s="9" t="inlineStr">
        <is>
          <t>Covering all six countries</t>
        </is>
      </c>
      <c r="D8" s="9" t="inlineStr">
        <is>
          <t>Proposed</t>
        </is>
      </c>
      <c r="E8" s="9" t="inlineStr">
        <is>
          <t>Status</t>
        </is>
      </c>
      <c r="F8" s="9" t="inlineStr">
        <is>
          <t>Target</t>
        </is>
      </c>
    </row>
    <row r="9">
      <c r="A9" s="12" t="inlineStr">
        <is>
          <t>Political</t>
        </is>
      </c>
      <c r="B9" s="14">
        <f>COUNTIFS('Long list'!$B$2:$B$100,$A9,'Long list'!$C$2:$C$100,"&lt;&gt;")</f>
        <v/>
      </c>
      <c r="C9" s="14">
        <f>COUNTIFS('Long list'!$B$2:$B$100,$A9,'Long list'!$C$2:$C$100,"&lt;&gt;",'Long list'!$R$2:$R$100,6)</f>
        <v/>
      </c>
      <c r="D9" s="14">
        <f>COUNTIFS('Long list'!$B$2:$B$100,$A9,'Long list'!$U$2:$U$100,"Yes")</f>
        <v/>
      </c>
      <c r="E9" s="14">
        <f>IF(D9&lt;F9,"Propose "&amp;(F9-D9)&amp;" more","OK")</f>
        <v/>
      </c>
      <c r="F9" s="11" t="n">
        <v>5</v>
      </c>
    </row>
    <row r="10">
      <c r="A10" s="12" t="inlineStr">
        <is>
          <t>Economic</t>
        </is>
      </c>
      <c r="B10" s="14">
        <f>COUNTIFS('Long list'!$B$2:$B$100,$A10,'Long list'!$C$2:$C$100,"&lt;&gt;")</f>
        <v/>
      </c>
      <c r="C10" s="14">
        <f>COUNTIFS('Long list'!$B$2:$B$100,$A10,'Long list'!$C$2:$C$100,"&lt;&gt;",'Long list'!$R$2:$R$100,6)</f>
        <v/>
      </c>
      <c r="D10" s="14">
        <f>COUNTIFS('Long list'!$B$2:$B$100,$A10,'Long list'!$U$2:$U$100,"Yes")</f>
        <v/>
      </c>
      <c r="E10" s="14">
        <f>IF(D10&lt;F10,"Propose "&amp;(F10-D10)&amp;" more","OK")</f>
        <v/>
      </c>
      <c r="F10" s="11" t="n">
        <v>10</v>
      </c>
    </row>
    <row r="11">
      <c r="A11" s="12" t="inlineStr">
        <is>
          <t>Social</t>
        </is>
      </c>
      <c r="B11" s="14">
        <f>COUNTIFS('Long list'!$B$2:$B$100,$A11,'Long list'!$C$2:$C$100,"&lt;&gt;")</f>
        <v/>
      </c>
      <c r="C11" s="14">
        <f>COUNTIFS('Long list'!$B$2:$B$100,$A11,'Long list'!$C$2:$C$100,"&lt;&gt;",'Long list'!$R$2:$R$100,6)</f>
        <v/>
      </c>
      <c r="D11" s="14">
        <f>COUNTIFS('Long list'!$B$2:$B$100,$A11,'Long list'!$U$2:$U$100,"Yes")</f>
        <v/>
      </c>
      <c r="E11" s="14">
        <f>IF(D11&lt;F11,"Propose "&amp;(F11-D11)&amp;" more","OK")</f>
        <v/>
      </c>
      <c r="F11" s="11" t="n">
        <v>10</v>
      </c>
    </row>
    <row r="12">
      <c r="A12" s="12" t="inlineStr">
        <is>
          <t>Technological</t>
        </is>
      </c>
      <c r="B12" s="14">
        <f>COUNTIFS('Long list'!$B$2:$B$100,$A12,'Long list'!$C$2:$C$100,"&lt;&gt;")</f>
        <v/>
      </c>
      <c r="C12" s="14">
        <f>COUNTIFS('Long list'!$B$2:$B$100,$A12,'Long list'!$C$2:$C$100,"&lt;&gt;",'Long list'!$R$2:$R$100,6)</f>
        <v/>
      </c>
      <c r="D12" s="14">
        <f>COUNTIFS('Long list'!$B$2:$B$100,$A12,'Long list'!$U$2:$U$100,"Yes")</f>
        <v/>
      </c>
      <c r="E12" s="14">
        <f>IF(D12&lt;F12,"Propose "&amp;(F12-D12)&amp;" more","OK")</f>
        <v/>
      </c>
      <c r="F12" s="11" t="n">
        <v>10</v>
      </c>
    </row>
    <row r="13">
      <c r="A13" s="12" t="inlineStr">
        <is>
          <t>Environmental</t>
        </is>
      </c>
      <c r="B13" s="14">
        <f>COUNTIFS('Long list'!$B$2:$B$100,$A13,'Long list'!$C$2:$C$100,"&lt;&gt;")</f>
        <v/>
      </c>
      <c r="C13" s="14">
        <f>COUNTIFS('Long list'!$B$2:$B$100,$A13,'Long list'!$C$2:$C$100,"&lt;&gt;",'Long list'!$R$2:$R$100,6)</f>
        <v/>
      </c>
      <c r="D13" s="14">
        <f>COUNTIFS('Long list'!$B$2:$B$100,$A13,'Long list'!$U$2:$U$100,"Yes")</f>
        <v/>
      </c>
      <c r="E13" s="14">
        <f>IF(D13&lt;F13,"Propose "&amp;(F13-D13)&amp;" more","OK")</f>
        <v/>
      </c>
      <c r="F13" s="11" t="n">
        <v>5</v>
      </c>
    </row>
    <row r="14">
      <c r="A14" s="12" t="inlineStr">
        <is>
          <t>Legal</t>
        </is>
      </c>
      <c r="B14" s="14">
        <f>COUNTIFS('Long list'!$B$2:$B$100,$A14,'Long list'!$C$2:$C$100,"&lt;&gt;")</f>
        <v/>
      </c>
      <c r="C14" s="14">
        <f>COUNTIFS('Long list'!$B$2:$B$100,$A14,'Long list'!$C$2:$C$100,"&lt;&gt;",'Long list'!$R$2:$R$100,6)</f>
        <v/>
      </c>
      <c r="D14" s="14">
        <f>COUNTIFS('Long list'!$B$2:$B$100,$A14,'Long list'!$U$2:$U$100,"Yes")</f>
        <v/>
      </c>
      <c r="E14" s="14">
        <f>IF(D14&lt;F14,"Propose "&amp;(F14-D14)&amp;" more","OK")</f>
        <v/>
      </c>
      <c r="F14" s="11" t="n">
        <v>5</v>
      </c>
    </row>
    <row r="15">
      <c r="A15" s="12" t="inlineStr">
        <is>
          <t>Total</t>
        </is>
      </c>
      <c r="B15" s="16">
        <f>SUM(B9:B14)</f>
        <v/>
      </c>
      <c r="C15" s="16">
        <f>SUM(C9:C14)</f>
        <v/>
      </c>
      <c r="D15" s="16">
        <f>SUM(D9:D14)</f>
        <v/>
      </c>
      <c r="E15" s="14" t="inlineStr"/>
      <c r="F15" s="16">
        <f>SUM(F9:F14)</f>
        <v/>
      </c>
    </row>
    <row r="17">
      <c r="A17" s="10" t="inlineStr">
        <is>
          <t>Number of proposals</t>
        </is>
      </c>
      <c r="B17" s="14">
        <f>IF(D15&lt;$B$5,"Too few: propose more",IF(D15&gt;$B$6,"Too many: cut down","Within the range"))</f>
        <v/>
      </c>
      <c r="C17" s="17" t="n"/>
    </row>
    <row r="18">
      <c r="A18" s="10" t="inlineStr">
        <is>
          <t>Proposals without data for all six countries</t>
        </is>
      </c>
      <c r="B18" s="14">
        <f>COUNTIFS('Long list'!$U$2:$U$100,"Yes",'Long list'!$R$2:$R$100,"&lt;6")</f>
        <v/>
      </c>
    </row>
    <row r="19">
      <c r="A19" s="10" t="inlineStr">
        <is>
          <t>Proposals without source name or link</t>
        </is>
      </c>
      <c r="B19" s="14">
        <f>COUNTIFS('Long list'!$U$2:$U$100,"Yes",'Long list'!$J$2:$J$100,"")+COUNTIFS('Long list'!$U$2:$U$100,"Yes",'Long list'!$I$2:$I$100,"")</f>
        <v/>
      </c>
    </row>
    <row r="20">
      <c r="A20" s="9" t="inlineStr">
        <is>
          <t>Julius Meinl dimension</t>
        </is>
      </c>
      <c r="B20" s="9" t="inlineStr">
        <is>
          <t>Proposed indicators</t>
        </is>
      </c>
      <c r="C20" s="9" t="inlineStr">
        <is>
          <t>Status</t>
        </is>
      </c>
    </row>
    <row r="21">
      <c r="A21" s="12" t="inlineStr">
        <is>
          <t>Premium coffee segment</t>
        </is>
      </c>
      <c r="B21" s="14">
        <f>COUNTIFS('Long list'!$E$2:$E$100,$A21,'Long list'!$U$2:$U$100,"Yes")</f>
        <v/>
      </c>
      <c r="C21" s="14">
        <f>IF($A21="Other (explain)","",IF(B21=0,"No indicator yet","OK"))</f>
        <v/>
      </c>
    </row>
    <row r="22">
      <c r="A22" s="12" t="inlineStr">
        <is>
          <t>Tourism and hotels</t>
        </is>
      </c>
      <c r="B22" s="14">
        <f>COUNTIFS('Long list'!$E$2:$E$100,$A22,'Long list'!$U$2:$U$100,"Yes")</f>
        <v/>
      </c>
      <c r="C22" s="14">
        <f>IF($A22="Other (explain)","",IF(B22=0,"No indicator yet","OK"))</f>
        <v/>
      </c>
    </row>
    <row r="23">
      <c r="A23" s="12" t="inlineStr">
        <is>
          <t>Purchasing power</t>
        </is>
      </c>
      <c r="B23" s="14">
        <f>COUNTIFS('Long list'!$E$2:$E$100,$A23,'Long list'!$U$2:$U$100,"Yes")</f>
        <v/>
      </c>
      <c r="C23" s="14">
        <f>IF($A23="Other (explain)","",IF(B23=0,"No indicator yet","OK"))</f>
        <v/>
      </c>
    </row>
    <row r="24">
      <c r="A24" s="12" t="inlineStr">
        <is>
          <t>Competitive landscape</t>
        </is>
      </c>
      <c r="B24" s="14">
        <f>COUNTIFS('Long list'!$E$2:$E$100,$A24,'Long list'!$U$2:$U$100,"Yes")</f>
        <v/>
      </c>
      <c r="C24" s="14">
        <f>IF($A24="Other (explain)","",IF(B24=0,"No indicator yet","OK"))</f>
        <v/>
      </c>
    </row>
    <row r="25">
      <c r="A25" s="12" t="inlineStr">
        <is>
          <t>Import and regulation</t>
        </is>
      </c>
      <c r="B25" s="14">
        <f>COUNTIFS('Long list'!$E$2:$E$100,$A25,'Long list'!$U$2:$U$100,"Yes")</f>
        <v/>
      </c>
      <c r="C25" s="14">
        <f>IF($A25="Other (explain)","",IF(B25=0,"No indicator yet","OK"))</f>
        <v/>
      </c>
    </row>
    <row r="26">
      <c r="A26" s="12" t="inlineStr">
        <is>
          <t>Coffee culture</t>
        </is>
      </c>
      <c r="B26" s="14">
        <f>COUNTIFS('Long list'!$E$2:$E$100,$A26,'Long list'!$U$2:$U$100,"Yes")</f>
        <v/>
      </c>
      <c r="C26" s="14">
        <f>IF($A26="Other (explain)","",IF(B26=0,"No indicator yet","OK"))</f>
        <v/>
      </c>
    </row>
    <row r="27">
      <c r="A27" s="12" t="inlineStr">
        <is>
          <t>Other (explain)</t>
        </is>
      </c>
      <c r="B27" s="14">
        <f>COUNTIFS('Long list'!$E$2:$E$100,$A27,'Long list'!$U$2:$U$100,"Yes")</f>
        <v/>
      </c>
      <c r="C27" s="14">
        <f>IF($A27="Other (explain)","",IF(B27=0,"No indicator yet","OK"))</f>
        <v/>
      </c>
    </row>
  </sheetData>
  <mergeCells count="1">
    <mergeCell ref="B17:C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6"/>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34" customWidth="1" min="2" max="2"/>
    <col width="67" customWidth="1" min="3" max="3"/>
    <col width="26" customWidth="1" min="4" max="4"/>
    <col width="19" customWidth="1" min="5" max="5"/>
    <col width="72" customWidth="1" min="6" max="6"/>
  </cols>
  <sheetData>
    <row r="1">
      <c r="A1" s="9" t="inlineStr">
        <is>
          <t>Data source</t>
        </is>
      </c>
      <c r="B1" s="9" t="inlineStr">
        <is>
          <t>Publisher</t>
        </is>
      </c>
      <c r="C1" s="9" t="inlineStr">
        <is>
          <t>What you can find</t>
        </is>
      </c>
      <c r="D1" s="9" t="inlineStr">
        <is>
          <t>PESTEL dimensions</t>
        </is>
      </c>
      <c r="E1" s="9" t="inlineStr">
        <is>
          <t>Access</t>
        </is>
      </c>
      <c r="F1" s="9" t="inlineStr">
        <is>
          <t>Link</t>
        </is>
      </c>
    </row>
    <row r="2" ht="30" customHeight="1">
      <c r="A2" s="11" t="inlineStr">
        <is>
          <t>World Development Indicators</t>
        </is>
      </c>
      <c r="B2" s="11" t="inlineStr">
        <is>
          <t>World Bank</t>
        </is>
      </c>
      <c r="C2" s="11" t="inlineStr">
        <is>
          <t>About 1,400 indicators for 217 economies: GDP, consumption, population, urbanisation, tourism, internet use.</t>
        </is>
      </c>
      <c r="D2" s="11" t="inlineStr">
        <is>
          <t>Economic; Social; Technological</t>
        </is>
      </c>
      <c r="E2" s="11" t="inlineStr">
        <is>
          <t>Free</t>
        </is>
      </c>
      <c r="F2" s="11" t="inlineStr">
        <is>
          <t>https://databank.worldbank.org/source/world-development-indicators</t>
        </is>
      </c>
    </row>
    <row r="3" ht="30" customHeight="1">
      <c r="A3" s="11" t="inlineStr">
        <is>
          <t>Worldwide Governance Indicators</t>
        </is>
      </c>
      <c r="B3" s="11" t="inlineStr">
        <is>
          <t>World Bank</t>
        </is>
      </c>
      <c r="C3" s="11" t="inlineStr">
        <is>
          <t>Six governance dimensions for about 200 economies, with standard errors.</t>
        </is>
      </c>
      <c r="D3" s="11" t="inlineStr">
        <is>
          <t>Political; Legal</t>
        </is>
      </c>
      <c r="E3" s="11" t="inlineStr">
        <is>
          <t>Free</t>
        </is>
      </c>
      <c r="F3" s="11" t="inlineStr">
        <is>
          <t>https://www.worldbank.org/en/publication/worldwide-governance-indicators</t>
        </is>
      </c>
    </row>
    <row r="4" ht="30" customHeight="1">
      <c r="A4" s="11" t="inlineStr">
        <is>
          <t>World Economic Outlook</t>
        </is>
      </c>
      <c r="B4" s="11" t="inlineStr">
        <is>
          <t>IMF</t>
        </is>
      </c>
      <c r="C4" s="11" t="inlineStr">
        <is>
          <t>Macro data and projections: growth, inflation, GDP.</t>
        </is>
      </c>
      <c r="D4" s="11" t="inlineStr">
        <is>
          <t>Economic</t>
        </is>
      </c>
      <c r="E4" s="11" t="inlineStr">
        <is>
          <t>Free</t>
        </is>
      </c>
      <c r="F4" s="11" t="inlineStr">
        <is>
          <t>https://data.imf.org/datasets/WEO</t>
        </is>
      </c>
    </row>
    <row r="5" ht="30" customHeight="1">
      <c r="A5" s="11" t="inlineStr">
        <is>
          <t>Corruption Perceptions Index</t>
        </is>
      </c>
      <c r="B5" s="11" t="inlineStr">
        <is>
          <t>Transparency International</t>
        </is>
      </c>
      <c r="C5" s="11" t="inlineStr">
        <is>
          <t>Perceived public-sector corruption, 0 to 100.</t>
        </is>
      </c>
      <c r="D5" s="11" t="inlineStr">
        <is>
          <t>Political</t>
        </is>
      </c>
      <c r="E5" s="11" t="inlineStr">
        <is>
          <t>Free</t>
        </is>
      </c>
      <c r="F5" s="11" t="inlineStr">
        <is>
          <t>https://www.transparency.org/en/cpi/2025</t>
        </is>
      </c>
    </row>
    <row r="6" ht="30" customHeight="1">
      <c r="A6" s="11" t="inlineStr">
        <is>
          <t>Index of Economic Freedom</t>
        </is>
      </c>
      <c r="B6" s="11" t="inlineStr">
        <is>
          <t>The Heritage Foundation</t>
        </is>
      </c>
      <c r="C6" s="11" t="inlineStr">
        <is>
          <t>Overall score and 12 component scores.</t>
        </is>
      </c>
      <c r="D6" s="11" t="inlineStr">
        <is>
          <t>Political; Legal</t>
        </is>
      </c>
      <c r="E6" s="11" t="inlineStr">
        <is>
          <t>Free</t>
        </is>
      </c>
      <c r="F6" s="11" t="inlineStr">
        <is>
          <t>https://www.heritage.org/index/</t>
        </is>
      </c>
    </row>
    <row r="7" ht="30" customHeight="1">
      <c r="A7" s="11" t="inlineStr">
        <is>
          <t>Country risk assessments</t>
        </is>
      </c>
      <c r="B7" s="11" t="inlineStr">
        <is>
          <t>Coface</t>
        </is>
      </c>
      <c r="C7" s="11" t="inlineStr">
        <is>
          <t>Country risk ratings on an eight-level scale for about 160 countries.</t>
        </is>
      </c>
      <c r="D7" s="11" t="inlineStr">
        <is>
          <t>Political; Economic</t>
        </is>
      </c>
      <c r="E7" s="11" t="inlineStr">
        <is>
          <t>Free</t>
        </is>
      </c>
      <c r="F7" s="11" t="inlineStr">
        <is>
          <t>https://www.coface.com/news-economy-and-insights/business-risk-dashboard/country-risk-files</t>
        </is>
      </c>
    </row>
    <row r="8" ht="30" customHeight="1">
      <c r="A8" s="11" t="inlineStr">
        <is>
          <t>Access2Markets</t>
        </is>
      </c>
      <c r="B8" s="11" t="inlineStr">
        <is>
          <t>European Commission, DG Trade</t>
        </is>
      </c>
      <c r="C8" s="11" t="inlineStr">
        <is>
          <t>Duties, taxes, product requirements and rules of origin for EU exporters.</t>
        </is>
      </c>
      <c r="D8" s="11" t="inlineStr">
        <is>
          <t>Political; Economic; Legal</t>
        </is>
      </c>
      <c r="E8" s="11" t="inlineStr">
        <is>
          <t>Free</t>
        </is>
      </c>
      <c r="F8" s="11" t="inlineStr">
        <is>
          <t>https://trade.ec.europa.eu/access-to-markets/en/content/what-access2markets-0</t>
        </is>
      </c>
    </row>
    <row r="9" ht="30" customHeight="1">
      <c r="A9" s="11" t="inlineStr">
        <is>
          <t>Tariff and trade data</t>
        </is>
      </c>
      <c r="B9" s="11" t="inlineStr">
        <is>
          <t>World Trade Organization</t>
        </is>
      </c>
      <c r="C9" s="11" t="inlineStr">
        <is>
          <t>Applied and bound tariffs by product, trade statistics.</t>
        </is>
      </c>
      <c r="D9" s="11" t="inlineStr">
        <is>
          <t>Economic; Legal</t>
        </is>
      </c>
      <c r="E9" s="11" t="inlineStr">
        <is>
          <t>Free</t>
        </is>
      </c>
      <c r="F9" s="11" t="inlineStr">
        <is>
          <t>https://stats.wto.org/</t>
        </is>
      </c>
    </row>
    <row r="10" ht="30" customHeight="1">
      <c r="A10" s="11" t="inlineStr">
        <is>
          <t>Trade Map</t>
        </is>
      </c>
      <c r="B10" s="11" t="inlineStr">
        <is>
          <t>International Trade Centre</t>
        </is>
      </c>
      <c r="C10" s="11" t="inlineStr">
        <is>
          <t>Imports, exports and tariffs by product (HS codes) and country.</t>
        </is>
      </c>
      <c r="D10" s="11" t="inlineStr">
        <is>
          <t>Economic</t>
        </is>
      </c>
      <c r="E10" s="11" t="inlineStr">
        <is>
          <t>Free (login)</t>
        </is>
      </c>
      <c r="F10" s="11" t="inlineStr">
        <is>
          <t>https://www.trademap.org/</t>
        </is>
      </c>
    </row>
    <row r="11" ht="30" customHeight="1">
      <c r="A11" s="11" t="inlineStr">
        <is>
          <t>UN Comtrade</t>
        </is>
      </c>
      <c r="B11" s="11" t="inlineStr">
        <is>
          <t>United Nations</t>
        </is>
      </c>
      <c r="C11" s="11" t="inlineStr">
        <is>
          <t>Bilateral trade flows by HS product.</t>
        </is>
      </c>
      <c r="D11" s="11" t="inlineStr">
        <is>
          <t>Economic</t>
        </is>
      </c>
      <c r="E11" s="11" t="inlineStr">
        <is>
          <t>Free (login)</t>
        </is>
      </c>
      <c r="F11" s="11" t="inlineStr">
        <is>
          <t>https://comtradeplus.un.org/</t>
        </is>
      </c>
    </row>
    <row r="12" ht="30" customHeight="1">
      <c r="A12" s="11" t="inlineStr">
        <is>
          <t>Coffee statistics</t>
        </is>
      </c>
      <c r="B12" s="11" t="inlineStr">
        <is>
          <t>International Coffee Organization</t>
        </is>
      </c>
      <c r="C12" s="11" t="inlineStr">
        <is>
          <t>Production, consumption and trade of coffee by country.</t>
        </is>
      </c>
      <c r="D12" s="11" t="inlineStr">
        <is>
          <t>Social; Environmental; Economic</t>
        </is>
      </c>
      <c r="E12" s="11" t="inlineStr">
        <is>
          <t>Free (check what is open)</t>
        </is>
      </c>
      <c r="F12" s="11" t="inlineStr">
        <is>
          <t>https://www.ico.org/</t>
        </is>
      </c>
    </row>
    <row r="13" ht="30" customHeight="1">
      <c r="A13" s="11" t="inlineStr">
        <is>
          <t>Annual coffee reports by country</t>
        </is>
      </c>
      <c r="B13" s="11" t="inlineStr">
        <is>
          <t>USDA Foreign Agricultural Service</t>
        </is>
      </c>
      <c r="C13" s="11" t="inlineStr">
        <is>
          <t>Coffee production, consumption, imports and market notes by country.</t>
        </is>
      </c>
      <c r="D13" s="11" t="inlineStr">
        <is>
          <t>Economic; Social; Environmental</t>
        </is>
      </c>
      <c r="E13" s="11" t="inlineStr">
        <is>
          <t>Free (search the reports)</t>
        </is>
      </c>
      <c r="F13" s="11" t="inlineStr">
        <is>
          <t>https://www.fas.usda.gov/</t>
        </is>
      </c>
    </row>
    <row r="14" ht="30" customHeight="1">
      <c r="A14" s="11" t="inlineStr">
        <is>
          <t>Gravity and GeoDist databases</t>
        </is>
      </c>
      <c r="B14" s="11" t="inlineStr">
        <is>
          <t>CEPII</t>
        </is>
      </c>
      <c r="C14" s="11" t="inlineStr">
        <is>
          <t>Distance, common language, colonial links between countries.</t>
        </is>
      </c>
      <c r="D14" s="11" t="inlineStr">
        <is>
          <t>Social; Political</t>
        </is>
      </c>
      <c r="E14" s="11" t="inlineStr">
        <is>
          <t>Free (login)</t>
        </is>
      </c>
      <c r="F14" s="11" t="inlineStr">
        <is>
          <t>https://www.cepii.fr/CEPII/en/bdd_modele/bdd_modele_item.asp?id=8</t>
        </is>
      </c>
    </row>
    <row r="15" ht="30" customHeight="1">
      <c r="A15" s="11" t="inlineStr">
        <is>
          <t>Dimension data matrix</t>
        </is>
      </c>
      <c r="B15" s="11" t="inlineStr">
        <is>
          <t>Hofstede Insights</t>
        </is>
      </c>
      <c r="C15" s="11" t="inlineStr">
        <is>
          <t>Country scores on six cultural dimensions.</t>
        </is>
      </c>
      <c r="D15" s="11" t="inlineStr">
        <is>
          <t>Social</t>
        </is>
      </c>
      <c r="E15" s="11" t="inlineStr">
        <is>
          <t>Free</t>
        </is>
      </c>
      <c r="F15" s="11" t="inlineStr">
        <is>
          <t>https://geerthofstede.com/research-and-vsm/dimension-data-matrix/</t>
        </is>
      </c>
    </row>
    <row r="16" ht="30" customHeight="1">
      <c r="A16" s="11" t="inlineStr">
        <is>
          <t>Logistics Performance Index</t>
        </is>
      </c>
      <c r="B16" s="11" t="inlineStr">
        <is>
          <t>World Bank</t>
        </is>
      </c>
      <c r="C16" s="11" t="inlineStr">
        <is>
          <t>Scores on customs, infrastructure, shipments, competence, tracking, timeliness.</t>
        </is>
      </c>
      <c r="D16" s="11" t="inlineStr">
        <is>
          <t>Technological; Legal</t>
        </is>
      </c>
      <c r="E16" s="11" t="inlineStr">
        <is>
          <t>Free</t>
        </is>
      </c>
      <c r="F16" s="11" t="inlineStr">
        <is>
          <t>https://lpi.worldbank.org/</t>
        </is>
      </c>
    </row>
    <row r="17" ht="30" customHeight="1">
      <c r="A17" s="11" t="inlineStr">
        <is>
          <t>Business Ready (B-READY)</t>
        </is>
      </c>
      <c r="B17" s="11" t="inlineStr">
        <is>
          <t>World Bank Group</t>
        </is>
      </c>
      <c r="C17" s="11" t="inlineStr">
        <is>
          <t>Business environment scores in 10 topics; 50 economies in 2024.</t>
        </is>
      </c>
      <c r="D17" s="11" t="inlineStr">
        <is>
          <t>Legal; Economic</t>
        </is>
      </c>
      <c r="E17" s="11" t="inlineStr">
        <is>
          <t>Free</t>
        </is>
      </c>
      <c r="F17" s="11" t="inlineStr">
        <is>
          <t>https://www.worldbank.org/en/businessready/publications-2024</t>
        </is>
      </c>
    </row>
    <row r="18" ht="30" customHeight="1">
      <c r="A18" s="11" t="inlineStr">
        <is>
          <t>Global Innovation Index</t>
        </is>
      </c>
      <c r="B18" s="11" t="inlineStr">
        <is>
          <t>WIPO</t>
        </is>
      </c>
      <c r="C18" s="11" t="inlineStr">
        <is>
          <t>Innovation capability with about 80 indicators.</t>
        </is>
      </c>
      <c r="D18" s="11" t="inlineStr">
        <is>
          <t>Technological</t>
        </is>
      </c>
      <c r="E18" s="11" t="inlineStr">
        <is>
          <t>Free</t>
        </is>
      </c>
      <c r="F18" s="11" t="inlineStr">
        <is>
          <t>https://www.wipo.int/web/global-innovation-index</t>
        </is>
      </c>
    </row>
    <row r="19" ht="30" customHeight="1">
      <c r="A19" s="11" t="inlineStr">
        <is>
          <t>Global Findex</t>
        </is>
      </c>
      <c r="B19" s="11" t="inlineStr">
        <is>
          <t>World Bank</t>
        </is>
      </c>
      <c r="C19" s="11" t="inlineStr">
        <is>
          <t>Account ownership and use of financial services.</t>
        </is>
      </c>
      <c r="D19" s="11" t="inlineStr">
        <is>
          <t>Technological; Economic</t>
        </is>
      </c>
      <c r="E19" s="11" t="inlineStr">
        <is>
          <t>Free (not checked by the instructor)</t>
        </is>
      </c>
      <c r="F19" s="11" t="inlineStr">
        <is>
          <t>https://www.worldbank.org/en/publication/globalfindex</t>
        </is>
      </c>
    </row>
    <row r="20" ht="30" customHeight="1">
      <c r="A20" s="11" t="inlineStr">
        <is>
          <t>ND-GAIN Country Index</t>
        </is>
      </c>
      <c r="B20" s="11" t="inlineStr">
        <is>
          <t>University of Notre Dame</t>
        </is>
      </c>
      <c r="C20" s="11" t="inlineStr">
        <is>
          <t>Climate vulnerability and readiness for about 185 countries.</t>
        </is>
      </c>
      <c r="D20" s="11" t="inlineStr">
        <is>
          <t>Environmental</t>
        </is>
      </c>
      <c r="E20" s="11" t="inlineStr">
        <is>
          <t>Free</t>
        </is>
      </c>
      <c r="F20" s="11" t="inlineStr">
        <is>
          <t>https://gain.nd.edu/our-work/country-index/download-data/</t>
        </is>
      </c>
    </row>
    <row r="21" ht="30" customHeight="1">
      <c r="A21" s="11" t="inlineStr">
        <is>
          <t>Environmental Performance Index</t>
        </is>
      </c>
      <c r="B21" s="11" t="inlineStr">
        <is>
          <t>Yale University</t>
        </is>
      </c>
      <c r="C21" s="11" t="inlineStr">
        <is>
          <t>Environmental health and ecosystem vitality scores.</t>
        </is>
      </c>
      <c r="D21" s="11" t="inlineStr">
        <is>
          <t>Environmental</t>
        </is>
      </c>
      <c r="E21" s="11" t="inlineStr">
        <is>
          <t>Free (not checked by the instructor)</t>
        </is>
      </c>
      <c r="F21" s="11" t="inlineStr">
        <is>
          <t>https://epi.yale.edu/</t>
        </is>
      </c>
    </row>
    <row r="22" ht="30" customHeight="1">
      <c r="A22" s="11" t="inlineStr">
        <is>
          <t>Passport</t>
        </is>
      </c>
      <c r="B22" s="11" t="inlineStr">
        <is>
          <t>Euromonitor International</t>
        </is>
      </c>
      <c r="C22" s="11" t="inlineStr">
        <is>
          <t>Category sizes and forecasts, company shares, consumer data.</t>
        </is>
      </c>
      <c r="D22" s="11" t="inlineStr">
        <is>
          <t>Economic; Social; Technological</t>
        </is>
      </c>
      <c r="E22" s="11" t="inlineStr">
        <is>
          <t>WU library</t>
        </is>
      </c>
      <c r="F22" s="11" t="inlineStr">
        <is>
          <t>https://www.euromonitor.com/our-expertise/passport</t>
        </is>
      </c>
    </row>
    <row r="23" ht="30" customHeight="1">
      <c r="A23" s="11" t="inlineStr">
        <is>
          <t>Statista</t>
        </is>
      </c>
      <c r="B23" s="11" t="inlineStr">
        <is>
          <t>Statista</t>
        </is>
      </c>
      <c r="C23" s="11" t="inlineStr">
        <is>
          <t>Market and consumer statistics by country. A secondary source: find the original.</t>
        </is>
      </c>
      <c r="D23" s="11" t="inlineStr">
        <is>
          <t>Economic; Social</t>
        </is>
      </c>
      <c r="E23" s="11" t="inlineStr">
        <is>
          <t>WU library</t>
        </is>
      </c>
      <c r="F23" s="11" t="inlineStr">
        <is>
          <t>https://www.statista.com/</t>
        </is>
      </c>
    </row>
    <row r="24" ht="30" customHeight="1">
      <c r="A24" s="11" t="inlineStr">
        <is>
          <t>Reports and country profiles</t>
        </is>
      </c>
      <c r="B24" s="11" t="inlineStr">
        <is>
          <t>WKO AUSSENWIRTSCHAFT</t>
        </is>
      </c>
      <c r="C24" s="11" t="inlineStr">
        <is>
          <t>Country and sector reports from the Austrian trade offices.</t>
        </is>
      </c>
      <c r="D24" s="11" t="inlineStr">
        <is>
          <t>Political; Economic; Legal</t>
        </is>
      </c>
      <c r="E24" s="11" t="inlineStr">
        <is>
          <t>Free (some need login)</t>
        </is>
      </c>
      <c r="F24" s="11" t="inlineStr">
        <is>
          <t>https://www.wko.at/aussenwirtschaft/berichte</t>
        </is>
      </c>
    </row>
    <row r="26">
      <c r="A26" s="2" t="inlineStr">
        <is>
          <t>Access labels follow the instructor's background collection. Entries marked "not checked" were added from general knowledge: verify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2026-10-13T16:14:55Z</dcterms:created>
  <dcterms:modified xmlns:dcterms="http://purl.org/dc/terms/" xmlns:xsi="http://www.w3.org/2001/XMLSchema-instance" xsi:type="dcterms:W3CDTF">2026-10-13T16:14:56Z</dcterms:modified>
</cp:coreProperties>
</file>